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Documents" sheetId="2" state="visible" r:id="rId4"/>
    <sheet name="Task-Doc Map" sheetId="3" state="visible" r:id="rId5"/>
    <sheet name="Coverage" sheetId="4" state="visible" r:id="rId6"/>
  </sheets>
  <definedNames>
    <definedName function="false" hidden="true" localSheetId="1" name="_xlnm._FilterDatabase" vbProcedure="false">Documents!$A$1:$S$30</definedName>
    <definedName function="false" hidden="true" localSheetId="2" name="_xlnm._FilterDatabase" vbProcedure="false">'Task-Doc Map'!$A$1:$G$32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<sst xmlns="http://schemas.openxmlformats.org/spreadsheetml/2006/main" count="828" uniqueCount="429">
  <si>
    <t xml:space="preserve">ELM for Teachers: Data Curation Map (example). Version 0.2, 16 October 2026 (source URLs verified).</t>
  </si>
  <si>
    <t xml:space="preserve">Purpose</t>
  </si>
  <si>
    <t xml:space="preserve">A map from tasks to the documents an agentic system should read, with how each document is used, its evidence strength, jurisdiction and review date.</t>
  </si>
  <si>
    <t xml:space="preserve">Sheets</t>
  </si>
  <si>
    <t xml:space="preserve">Documents: one row per reference document. Task-Doc Map: which documents each task and skill loads, in what order. Coverage: counts by cluster and strength (formula-driven).</t>
  </si>
  <si>
    <t xml:space="preserve">Cells to edit</t>
  </si>
  <si>
    <t xml:space="preserve">All cells on Documents and Task-Doc Map are editable. Add rows at the bottom; filters and Coverage formulas cover rows 2 to 200.</t>
  </si>
  <si>
    <t xml:space="preserve">Clusters</t>
  </si>
  <si>
    <t xml:space="preserve">Evidence summary; Statutory frame; Accessibility standard; Need-group profile; Negative evidence register; AI governance; Normative frame.</t>
  </si>
  <si>
    <t xml:space="preserve">Usage mode</t>
  </si>
  <si>
    <t xml:space="preserve">Read in full (long guidance read by the agent each time); Summary md (a curated digest in data-context/); Rules table (checkable rules, also as JSON); Excerpts md (statutory paragraphs quoted with paragraph numbers); Citation + summary (paywalled, summary only).</t>
  </si>
  <si>
    <t xml:space="preserve">Evidence strength</t>
  </si>
  <si>
    <t xml:space="preserve">Strong, Moderate, Emerging, Consensus, Negative, plus Statutory, Policy, Legal, Standard, Theoretical for non-empirical documents.</t>
  </si>
  <si>
    <t xml:space="preserve">Load priority</t>
  </si>
  <si>
    <t xml:space="preserve">1 = always load for the task; 2 = load when the task touches the topic; 3 = load on demand.</t>
  </si>
  <si>
    <t xml:space="preserve">Review by</t>
  </si>
  <si>
    <t xml:space="preserve">Date by which the document should be re-verified against the publisher. Statutory and AI governance documents are reviewed every 3 to 12 months.</t>
  </si>
  <si>
    <t xml:space="preserve">Example row</t>
  </si>
  <si>
    <t xml:space="preserve">Row D01 on the Documents sheet shows the expected format.</t>
  </si>
  <si>
    <t xml:space="preserve">Sources</t>
  </si>
  <si>
    <t xml:space="preserve">Publisher column and Reference / URL column on the Documents sheet. Compiled from the ELM for Teachers differentiation research report, 15 October 2026. Every URL was checked against the publisher page (or Crossref for DOIs) on 16 October 2026; findings and corrections are in the Source check column. The first URL in each Reference / URL cell is clickable.</t>
  </si>
  <si>
    <t xml:space="preserve">Doc ID</t>
  </si>
  <si>
    <t xml:space="preserve">Document</t>
  </si>
  <si>
    <t xml:space="preserve">Publisher / author</t>
  </si>
  <si>
    <t xml:space="preserve">Year / version</t>
  </si>
  <si>
    <t xml:space="preserve">Type</t>
  </si>
  <si>
    <t xml:space="preserve">Cluster</t>
  </si>
  <si>
    <t xml:space="preserve">Jurisdiction</t>
  </si>
  <si>
    <t xml:space="preserve">Phase</t>
  </si>
  <si>
    <t xml:space="preserve">Need groups</t>
  </si>
  <si>
    <t xml:space="preserve">How the agent uses it</t>
  </si>
  <si>
    <t xml:space="preserve">Format in repo</t>
  </si>
  <si>
    <t xml:space="preserve">Licence / access</t>
  </si>
  <si>
    <t xml:space="preserve">Verified on</t>
  </si>
  <si>
    <t xml:space="preserve">Reference / URL</t>
  </si>
  <si>
    <t xml:space="preserve">Notes</t>
  </si>
  <si>
    <t xml:space="preserve">Source check (2026-10-16)</t>
  </si>
  <si>
    <t xml:space="preserve">D01</t>
  </si>
  <si>
    <t xml:space="preserve">Special Educational Needs in Mainstream Schools (guidance report)</t>
  </si>
  <si>
    <t xml:space="preserve">Education Endowment Foundation (Davies and Henderson)</t>
  </si>
  <si>
    <t xml:space="preserve">2020, updated May 2025</t>
  </si>
  <si>
    <t xml:space="preserve">Guidance report</t>
  </si>
  <si>
    <t xml:space="preserve">Evidence summary</t>
  </si>
  <si>
    <t xml:space="preserve">England (applicable UK-wide)</t>
  </si>
  <si>
    <t xml:space="preserve">Primary, Secondary</t>
  </si>
  <si>
    <t xml:space="preserve">All SEND</t>
  </si>
  <si>
    <t xml:space="preserve">Strong (synthesis)</t>
  </si>
  <si>
    <t xml:space="preserve">Five recommendations and the 5-a-day; grounds every adaptive teaching recommendation</t>
  </si>
  <si>
    <t xml:space="preserve">Read in full; cited in change logs</t>
  </si>
  <si>
    <t xml:space="preserve">PDF + summary md</t>
  </si>
  <si>
    <t xml:space="preserve">Open (CC BY-NC-ND style; check)</t>
  </si>
  <si>
    <t xml:space="preserve">2026-10-16</t>
  </si>
  <si>
    <t xml:space="preserve">2027-05-01</t>
  </si>
  <si>
    <t xml:space="preserve">Landing page: https://educationendowmentfoundation.org.uk/education-evidence/guidance-reports/send</t>
  </si>
  <si>
    <t xml:space="preserve">Special schools largely out of scope</t>
  </si>
  <si>
    <t xml:space="preserve">Verified. EEF page still labels it "First Edition, 20/03/2020"; the May 2025 update is the current PDF on that page.</t>
  </si>
  <si>
    <t xml:space="preserve">D02</t>
  </si>
  <si>
    <t xml:space="preserve">Teaching and Learning Toolkit: Setting and streaming; Within-class attainment grouping; Teaching assistants</t>
  </si>
  <si>
    <t xml:space="preserve">Education Endowment Foundation</t>
  </si>
  <si>
    <t xml:space="preserve">Rolling (check date)</t>
  </si>
  <si>
    <t xml:space="preserve">Evidence synthesis</t>
  </si>
  <si>
    <t xml:space="preserve">Negative evidence register</t>
  </si>
  <si>
    <t xml:space="preserve">UK</t>
  </si>
  <si>
    <t xml:space="preserve">All</t>
  </si>
  <si>
    <t xml:space="preserve">Moderate (contested detail)</t>
  </si>
  <si>
    <t xml:space="preserve">Grounds challenges to fixed grouping and TA-as-teacher requests</t>
  </si>
  <si>
    <t xml:space="preserve">Summary md; cite with date</t>
  </si>
  <si>
    <t xml:space="preserve">md</t>
  </si>
  <si>
    <t xml:space="preserve">Open</t>
  </si>
  <si>
    <t xml:space="preserve">2027-04-01</t>
  </si>
  <si>
    <t xml:space="preserve">Setting and streaming: https://educationendowmentfoundation.org.uk/education-evidence/teaching-learning-toolkit/setting-and-streaming
Within-class attainment grouping: https://educationendowmentfoundation.org.uk/education-evidence/teaching-learning-toolkit/within-class-attainment-grouping
Teaching assistant interventions: https://educationendowmentfoundation.org.uk/education-evidence/teaching-learning-toolkit/teaching-assistant-interventions</t>
  </si>
  <si>
    <t xml:space="preserve">Figures publicly challenged in 2018; one corrected</t>
  </si>
  <si>
    <t xml:space="preserve">Verified, all three strands live. Toolkit figures change on update, so cite with access date.</t>
  </si>
  <si>
    <t xml:space="preserve">D03</t>
  </si>
  <si>
    <t xml:space="preserve">Deployment of Teaching Assistants (guidance report, third edition)</t>
  </si>
  <si>
    <t xml:space="preserve">Third edition, 26 March 2025</t>
  </si>
  <si>
    <t xml:space="preserve">Strong</t>
  </si>
  <si>
    <t xml:space="preserve">TA deployment recommendations; separation effect</t>
  </si>
  <si>
    <t xml:space="preserve">Summary md</t>
  </si>
  <si>
    <t xml:space="preserve">PDF</t>
  </si>
  <si>
    <t xml:space="preserve">https://educationendowmentfoundation.org.uk/education-evidence/guidance-reports/teaching-assistants</t>
  </si>
  <si>
    <t xml:space="preserve">Replaces Making Best Use of Teaching Assistants (2015, 2018). Pairs with DISS project</t>
  </si>
  <si>
    <t xml:space="preserve">CHANGED: "Making Best Use of Teaching Assistants" has no current EEF-hosted URL; it was replaced by "Deployment of Teaching Assistants", third edition, 26 March 2025. Row updated to the current edition.</t>
  </si>
  <si>
    <t xml:space="preserve">D04</t>
  </si>
  <si>
    <t xml:space="preserve">Improving Literacy in Key Stage 2 (second edition)</t>
  </si>
  <si>
    <t xml:space="preserve">EEF</t>
  </si>
  <si>
    <t xml:space="preserve">2021</t>
  </si>
  <si>
    <t xml:space="preserve">England</t>
  </si>
  <si>
    <t xml:space="preserve">Primary</t>
  </si>
  <si>
    <t xml:space="preserve">EAL, SLCN, literacy difficulties</t>
  </si>
  <si>
    <t xml:space="preserve">Pre-teach Tier 2 vocabulary; reading comprehension strategies</t>
  </si>
  <si>
    <t xml:space="preserve">https://educationendowmentfoundation.org.uk/education-evidence/guidance-reports/literacy-ks2</t>
  </si>
  <si>
    <t xml:space="preserve">Also KS1 edition (2020)</t>
  </si>
  <si>
    <t xml:space="preserve">Verified: second edition, 26 November 2021.</t>
  </si>
  <si>
    <t xml:space="preserve">D05</t>
  </si>
  <si>
    <t xml:space="preserve">Improving Literacy in Secondary Schools</t>
  </si>
  <si>
    <t xml:space="preserve">2019</t>
  </si>
  <si>
    <t xml:space="preserve">Secondary</t>
  </si>
  <si>
    <t xml:space="preserve">Disciplinary vocabulary, morphology, graphic organisers</t>
  </si>
  <si>
    <t xml:space="preserve">https://educationendowmentfoundation.org.uk/education-evidence/guidance-reports/literacy-ks3-ks4</t>
  </si>
  <si>
    <t xml:space="preserve">Verified. EEF page shows "First Edition, 06/07/2018"; ERIC and DERA records give 2019. Year left as 2019.</t>
  </si>
  <si>
    <t xml:space="preserve">D06</t>
  </si>
  <si>
    <t xml:space="preserve">SEND Code of Practice: 0 to 25 years</t>
  </si>
  <si>
    <t xml:space="preserve">DfE and DHSC</t>
  </si>
  <si>
    <t xml:space="preserve">2015</t>
  </si>
  <si>
    <t xml:space="preserve">Statutory guidance</t>
  </si>
  <si>
    <t xml:space="preserve">Statutory frame</t>
  </si>
  <si>
    <t xml:space="preserve">Statutory</t>
  </si>
  <si>
    <t xml:space="preserve">Paras 1.24, 6.36 to 6.38: teacher responsibility; graduated approach; high-quality differentiated teaching as first step</t>
  </si>
  <si>
    <t xml:space="preserve">Excerpts md; full PDF for lookup</t>
  </si>
  <si>
    <t xml:space="preserve">PDF + md</t>
  </si>
  <si>
    <t xml:space="preserve">Open Government Licence</t>
  </si>
  <si>
    <t xml:space="preserve">2027-01-01</t>
  </si>
  <si>
    <t xml:space="preserve">https://www.gov.uk/government/publications/send-code-of-practice-0-to-25</t>
  </si>
  <si>
    <t xml:space="preserve">Reform consultation ongoing; monitor</t>
  </si>
  <si>
    <t xml:space="preserve">Verified: publishers DfE and DHSC; page last updated 12 September 2024.</t>
  </si>
  <si>
    <t xml:space="preserve">D07</t>
  </si>
  <si>
    <t xml:space="preserve">Teachers' Standards; ITT Core Content Framework; Early Career Framework</t>
  </si>
  <si>
    <t xml:space="preserve">DfE</t>
  </si>
  <si>
    <t xml:space="preserve">2011, updated Dec 2021 (TS); 2019 (CCF/ECF); 2024, in force Sept 2025 (ITTECF)</t>
  </si>
  <si>
    <t xml:space="preserve">Policy</t>
  </si>
  <si>
    <t xml:space="preserve">Policy consensus</t>
  </si>
  <si>
    <t xml:space="preserve">Standard 5; adaptive teaching statements; warning against distinct tasks and lower expectations</t>
  </si>
  <si>
    <t xml:space="preserve">Excerpts md</t>
  </si>
  <si>
    <t xml:space="preserve">OGL</t>
  </si>
  <si>
    <t xml:space="preserve">Teachers' Standards: https://www.gov.uk/government/publications/teachers-standards
ITTECF (operative from Sept 2025): https://www.gov.uk/government/publications/initial-teacher-training-and-early-career-framework
ITT CCF (superseded): https://www.gov.uk/government/publications/initial-teacher-training-itt-core-content-framework
ECF (superseded): https://www.gov.uk/government/publications/early-career-framework</t>
  </si>
  <si>
    <t xml:space="preserve">Verified. Teachers' Standards last updated 13 December 2021. ITTECF (30 January 2024) combines and replaces the CCF and ECF from September 2025.</t>
  </si>
  <si>
    <t xml:space="preserve">D08</t>
  </si>
  <si>
    <t xml:space="preserve">Supporting Children's Learning: ASL Code of Practice (fourth edition, consultation draft)</t>
  </si>
  <si>
    <t xml:space="preserve">Scottish Government</t>
  </si>
  <si>
    <t xml:space="preserve">2026 draft (12 Feb 2026)</t>
  </si>
  <si>
    <t xml:space="preserve">Scotland</t>
  </si>
  <si>
    <t xml:space="preserve">All ASN</t>
  </si>
  <si>
    <t xml:space="preserve">ASN definition (no diagnosis required); staged intervention; CSP criteria</t>
  </si>
  <si>
    <t xml:space="preserve">HTML + md</t>
  </si>
  <si>
    <t xml:space="preserve">Draft 4th edition: https://www.gov.scot/publications/supporting-childrens-learning-code-practice-statutory-guidance-education-additional-support-learning-scotland-act-2004-fourth-edition-2026/</t>
  </si>
  <si>
    <t xml:space="preserve">Also GIRFEC wellbeing indicators</t>
  </si>
  <si>
    <t xml:space="preserve">CHANGED: the 2026 fourth edition (12 February 2026) is a consultation draft, not a final code in force. Treat as draft until adopted.</t>
  </si>
  <si>
    <t xml:space="preserve">D09</t>
  </si>
  <si>
    <t xml:space="preserve">Additional Learning Needs Code for Wales; ALN decision-making guidance</t>
  </si>
  <si>
    <t xml:space="preserve">Welsh Government</t>
  </si>
  <si>
    <t xml:space="preserve">2021; guidance March 2026</t>
  </si>
  <si>
    <t xml:space="preserve">Wales</t>
  </si>
  <si>
    <t xml:space="preserve">All ALN</t>
  </si>
  <si>
    <t xml:space="preserve">Routine differentiated teaching is not ALP; IDP process</t>
  </si>
  <si>
    <t xml:space="preserve">ALN Code: https://www.gov.wales/additional-learning-needs-code
Decision-making guide: https://www.gov.wales/additional-learning-needs-aln-decision-making-and-communication
Collection: https://www.gov.wales/additional-learning-needs-guidance-schools-and-local-authorities</t>
  </si>
  <si>
    <t xml:space="preserve">Universal provision concept contested</t>
  </si>
  <si>
    <t xml:space="preserve">Verified: ALN Code 26 March 2021; decision-making and communication guide first published 27 March 2026 (non-statutory supplementary guide).</t>
  </si>
  <si>
    <t xml:space="preserve">D10</t>
  </si>
  <si>
    <t xml:space="preserve">Dyslexia Style Guide</t>
  </si>
  <si>
    <t xml:space="preserve">British Dyslexia Association</t>
  </si>
  <si>
    <t xml:space="preserve">2023</t>
  </si>
  <si>
    <t xml:space="preserve">Standard</t>
  </si>
  <si>
    <t xml:space="preserve">Accessibility standard</t>
  </si>
  <si>
    <t xml:space="preserve">Dyslexia, literacy difficulties</t>
  </si>
  <si>
    <t xml:space="preserve">Consensus</t>
  </si>
  <si>
    <t xml:space="preserve">Checkable formatting rules for differentiate-for-dyslexia</t>
  </si>
  <si>
    <t xml:space="preserve">Rules table md; automated checker</t>
  </si>
  <si>
    <t xml:space="preserve">md + JSON rules</t>
  </si>
  <si>
    <t xml:space="preserve">2027-10-01</t>
  </si>
  <si>
    <t xml:space="preserve">https://www.bdadyslexia.org.uk/advice/employers/creating-a-dyslexia-friendly-workplace/dyslexia-friendly-style-guide</t>
  </si>
  <si>
    <t xml:space="preserve">Pair with Dyslexia Scotland note on fonts</t>
  </si>
  <si>
    <t xml:space="preserve">Verified: BDA page hosts the Dyslexia Style Guide 2023 download.</t>
  </si>
  <si>
    <t xml:space="preserve">D11</t>
  </si>
  <si>
    <t xml:space="preserve">Formats guidance (fonts, backgrounds)</t>
  </si>
  <si>
    <t xml:space="preserve">Dyslexia Scotland</t>
  </si>
  <si>
    <t xml:space="preserve">2025</t>
  </si>
  <si>
    <t xml:space="preserve">Guidance</t>
  </si>
  <si>
    <t xml:space="preserve">Scotland (UK-applicable)</t>
  </si>
  <si>
    <t xml:space="preserve">Dyslexia</t>
  </si>
  <si>
    <t xml:space="preserve">Moderate</t>
  </si>
  <si>
    <t xml:space="preserve">No consistent advantage for dyslexia fonts</t>
  </si>
  <si>
    <t xml:space="preserve">Rules table md</t>
  </si>
  <si>
    <t xml:space="preserve">Web page: https://dyslexiascotland.org.uk/dyslexia-friendly-typed-formats/
PDF: https://dyslexiascotland.org.uk/wp-content/uploads/2025/09/formats.pdf</t>
  </si>
  <si>
    <t xml:space="preserve">Verified: "Dyslexia-friendly typed formats", published September 2025.</t>
  </si>
  <si>
    <t xml:space="preserve">D12</t>
  </si>
  <si>
    <t xml:space="preserve">G003 Creating clear print and large print documents v4</t>
  </si>
  <si>
    <t xml:space="preserve">UK Association for Accessible Formats</t>
  </si>
  <si>
    <t xml:space="preserve">2024</t>
  </si>
  <si>
    <t xml:space="preserve">Visual impairment</t>
  </si>
  <si>
    <t xml:space="preserve">Print size and layout rules</t>
  </si>
  <si>
    <t xml:space="preserve">Rules table md; checker</t>
  </si>
  <si>
    <t xml:space="preserve">https://www.ukaaf.org/wp-content/uploads/2024/12/G003-UKAAF-Creating-clear-print-and-large-print-documents-v4.pdf</t>
  </si>
  <si>
    <t xml:space="preserve">Verified: G003 version 4, approved 6 March 2024.</t>
  </si>
  <si>
    <t xml:space="preserve">D13</t>
  </si>
  <si>
    <t xml:space="preserve">Access to exams and tests: modified large print</t>
  </si>
  <si>
    <t xml:space="preserve">RNIB</t>
  </si>
  <si>
    <t xml:space="preserve">Current</t>
  </si>
  <si>
    <t xml:space="preserve">MLP sizes (18pt KS1, 24pt KS2+); rebuild not enlarge</t>
  </si>
  <si>
    <t xml:space="preserve">https://www.rnib.org.uk/professionals/education-professionals/access-to-exams-and-tests/</t>
  </si>
  <si>
    <t xml:space="preserve">Diagrams to be QTVI-checked</t>
  </si>
  <si>
    <t xml:space="preserve">Verified: RNIB "Access to exams and tests" page (covers modified SATs papers). Page undated.</t>
  </si>
  <si>
    <t xml:space="preserve">D14</t>
  </si>
  <si>
    <t xml:space="preserve">Creating a good communication environment; deaf-friendly teaching</t>
  </si>
  <si>
    <t xml:space="preserve">National Deaf Children's Society</t>
  </si>
  <si>
    <t xml:space="preserve">Hearing impairment</t>
  </si>
  <si>
    <t xml:space="preserve">Seating, radio aids, captions</t>
  </si>
  <si>
    <t xml:space="preserve">Communication environment: https://www.ndcs.org.uk/education-professionals/creating-good-communication-environment-educator
Deaf-friendly teaching: https://www.ndcs.org.uk/education-professionals/deaf-friendly-teaching</t>
  </si>
  <si>
    <t xml:space="preserve">BB93 for acoustics</t>
  </si>
  <si>
    <t xml:space="preserve">Verified: both NDCS educator pages live; communication environment page last reviewed May 2025.</t>
  </si>
  <si>
    <t xml:space="preserve">D15</t>
  </si>
  <si>
    <t xml:space="preserve">Web Content Accessibility Guidelines 2.2</t>
  </si>
  <si>
    <t xml:space="preserve">W3C</t>
  </si>
  <si>
    <t xml:space="preserve">International</t>
  </si>
  <si>
    <t xml:space="preserve">Digital resource checks</t>
  </si>
  <si>
    <t xml:space="preserve">Rules subset md</t>
  </si>
  <si>
    <t xml:space="preserve">2028-01-01</t>
  </si>
  <si>
    <t xml:space="preserve">https://www.w3.org/TR/WCAG22/</t>
  </si>
  <si>
    <t xml:space="preserve">AA subset only</t>
  </si>
  <si>
    <t xml:space="preserve">Verified: first Recommendation 5 October 2023; current version 12 December 2024 (errata incorporated).</t>
  </si>
  <si>
    <t xml:space="preserve">D16</t>
  </si>
  <si>
    <t xml:space="preserve">Evidence-based practices for children, youth and young adults with autism</t>
  </si>
  <si>
    <t xml:space="preserve">NCAEP (Steinbrenner et al.)</t>
  </si>
  <si>
    <t xml:space="preserve">2020</t>
  </si>
  <si>
    <t xml:space="preserve">Systematic review</t>
  </si>
  <si>
    <t xml:space="preserve">Need-group profile</t>
  </si>
  <si>
    <t xml:space="preserve">Autism</t>
  </si>
  <si>
    <t xml:space="preserve">Strong (single-case dominated)</t>
  </si>
  <si>
    <t xml:space="preserve">28 EBPs incl. visual supports, task analysis</t>
  </si>
  <si>
    <t xml:space="preserve">Profile md</t>
  </si>
  <si>
    <t xml:space="preserve">https://ncaep.fpg.unc.edu/wp-content/uploads/EBP-Report-2020.pdf</t>
  </si>
  <si>
    <t xml:space="preserve">Leaf et al. 2021 critique; neurodiversity critiques</t>
  </si>
  <si>
    <t xml:space="preserve">Verified: Steinbrenner et al. 2020, FPG Child Development Institute, UNC.</t>
  </si>
  <si>
    <t xml:space="preserve">D17</t>
  </si>
  <si>
    <t xml:space="preserve">Assisting Students Struggling with Mathematics: Intervention in the Elementary Grades (practice guide)</t>
  </si>
  <si>
    <t xml:space="preserve">IES / WWC (Fuchs et al.)</t>
  </si>
  <si>
    <t xml:space="preserve">Practice guide</t>
  </si>
  <si>
    <t xml:space="preserve">US (transferable)</t>
  </si>
  <si>
    <t xml:space="preserve">Primary (KS1 to KS3)</t>
  </si>
  <si>
    <t xml:space="preserve">Maths difficulties, dyscalculia</t>
  </si>
  <si>
    <t xml:space="preserve">Strong (all six recommendations)</t>
  </si>
  <si>
    <t xml:space="preserve">Representations, number line, language, word problems, fluency</t>
  </si>
  <si>
    <t xml:space="preserve">https://ies.ed.gov/ncee/wwc/PracticeGuide/26</t>
  </si>
  <si>
    <t xml:space="preserve">Verified: WWC 2021006, released March 2021, Fuchs (chair) et al.</t>
  </si>
  <si>
    <t xml:space="preserve">D18</t>
  </si>
  <si>
    <t xml:space="preserve">School-based interventions for ADHD: meta-analysis 1996 to 2010</t>
  </si>
  <si>
    <t xml:space="preserve">DuPaul, Eckert and Vilardo</t>
  </si>
  <si>
    <t xml:space="preserve">2012</t>
  </si>
  <si>
    <t xml:space="preserve">Meta-analysis</t>
  </si>
  <si>
    <t xml:space="preserve">ADHD</t>
  </si>
  <si>
    <t xml:space="preserve">Academic, contingency, self-management interventions</t>
  </si>
  <si>
    <t xml:space="preserve">Citation + summary</t>
  </si>
  <si>
    <t xml:space="preserve">Paywalled; summary only</t>
  </si>
  <si>
    <t xml:space="preserve">DuPaul et al. 2012: https://doi.org/10.1080/02796015.2012.12087496
Yegencik et al. 2025: https://doi.org/10.3389/fpsyg.2025.1611145</t>
  </si>
  <si>
    <t xml:space="preserve">Add Yegencik, Bell and Deniz 2025 (primary &gt; secondary)</t>
  </si>
  <si>
    <t xml:space="preserve">Verified via Crossref: School Psychology Review 41, 2012. Yegencik et al. 2025 also verified (Frontiers in Psychology 16).</t>
  </si>
  <si>
    <t xml:space="preserve">D19</t>
  </si>
  <si>
    <t xml:space="preserve">Prevalence of language disorder (SCALES); CATALISE terminology</t>
  </si>
  <si>
    <t xml:space="preserve">Norbury et al. 2016; Bishop et al. 2017</t>
  </si>
  <si>
    <t xml:space="preserve">2016; 2017</t>
  </si>
  <si>
    <t xml:space="preserve">Epidemiology; consensus</t>
  </si>
  <si>
    <t xml:space="preserve">UK (England)</t>
  </si>
  <si>
    <t xml:space="preserve">DLD / SLCN</t>
  </si>
  <si>
    <t xml:space="preserve">Prevalence 7.58%; persistence; terminology</t>
  </si>
  <si>
    <t xml:space="preserve">Open access</t>
  </si>
  <si>
    <t xml:space="preserve">Norbury et al. 2016: https://doi.org/10.1111/jcpp.12573
Bishop et al. 2017: https://doi.org/10.1111/jcpp.12721</t>
  </si>
  <si>
    <t xml:space="preserve">With Lowe et al. 2018, 2019 for interventions</t>
  </si>
  <si>
    <t xml:space="preserve">Verified via Crossref: JCPP 57 (2016) and JCPP 58 (2017).</t>
  </si>
  <si>
    <t xml:space="preserve">D20</t>
  </si>
  <si>
    <t xml:space="preserve">Systematic reviews of EAL interventions</t>
  </si>
  <si>
    <t xml:space="preserve">Murphy and Unthiah 2015; Oxley and de Cat 2019</t>
  </si>
  <si>
    <t xml:space="preserve">2015; 2019 (online), 2021 (issue)</t>
  </si>
  <si>
    <t xml:space="preserve">EAL</t>
  </si>
  <si>
    <t xml:space="preserve">Explicit vocabulary; oral language</t>
  </si>
  <si>
    <t xml:space="preserve">PDF; article</t>
  </si>
  <si>
    <t xml:space="preserve">Open; paywalled</t>
  </si>
  <si>
    <t xml:space="preserve">Murphy and Unthiah 2015: https://educationendowmentfoundation.org.uk/education-evidence/evidence-reviews/english-as-an-additional-language-eal
Oxley and de Cat 2019: https://doi.org/10.1080/09571736.2019.1597146</t>
  </si>
  <si>
    <t xml:space="preserve">With Yano, Long and Ross 1994 on elaboration</t>
  </si>
  <si>
    <t xml:space="preserve">Verified. Correct Murphy and Unthiah title: "...English language and literacy development in children with EAL" (January 2015). Oxley and de Cat online 2019, issue 49(3) 2021; title says "children and adolescents".</t>
  </si>
  <si>
    <t xml:space="preserve">D21</t>
  </si>
  <si>
    <t xml:space="preserve">Effective differentiation practices (primary meta-analysis)</t>
  </si>
  <si>
    <t xml:space="preserve">Deunk et al.</t>
  </si>
  <si>
    <t xml:space="preserve">2018</t>
  </si>
  <si>
    <t xml:space="preserve">Small effects; negative for low-ability grouping; labelling risk</t>
  </si>
  <si>
    <t xml:space="preserve">Open access PDF</t>
  </si>
  <si>
    <t xml:space="preserve">https://doi.org/10.1016/j.edurev.2018.02.002</t>
  </si>
  <si>
    <t xml:space="preserve">Verified via Crossref: Educational Research Review 24, 2018.</t>
  </si>
  <si>
    <t xml:space="preserve">D22</t>
  </si>
  <si>
    <t xml:space="preserve">Differentiated instruction in secondary education: systematic review</t>
  </si>
  <si>
    <t xml:space="preserve">Smale-Jacobse et al.</t>
  </si>
  <si>
    <t xml:space="preserve">Moderate (thin)</t>
  </si>
  <si>
    <t xml:space="preserve">d = +0.51 to +0.74; shallow implementation</t>
  </si>
  <si>
    <t xml:space="preserve">https://doi.org/10.3389/fpsyg.2019.02366</t>
  </si>
  <si>
    <t xml:space="preserve">Verified via Crossref: Frontiers in Psychology 10, 2019.</t>
  </si>
  <si>
    <t xml:space="preserve">D23</t>
  </si>
  <si>
    <t xml:space="preserve">Learning styles: concepts and evidence</t>
  </si>
  <si>
    <t xml:space="preserve">Pashler, McDaniel, Rohrer and Bjork</t>
  </si>
  <si>
    <t xml:space="preserve">2008</t>
  </si>
  <si>
    <t xml:space="preserve">Review</t>
  </si>
  <si>
    <t xml:space="preserve">Strong (absence of effect)</t>
  </si>
  <si>
    <t xml:space="preserve">Grounds refusal of learning-styles matching</t>
  </si>
  <si>
    <t xml:space="preserve">Register md</t>
  </si>
  <si>
    <t xml:space="preserve">https://doi.org/10.1111/j.1539-6053.2009.01038.x</t>
  </si>
  <si>
    <t xml:space="preserve">Verified via Crossref: PSPI 9(3), 2008 (DOI string contains 2009; cite as 2008).</t>
  </si>
  <si>
    <t xml:space="preserve">D24</t>
  </si>
  <si>
    <t xml:space="preserve">Deployment and Impact of Support Staff (DISS) project</t>
  </si>
  <si>
    <t xml:space="preserve">Blatchford et al., IOE</t>
  </si>
  <si>
    <t xml:space="preserve">2009</t>
  </si>
  <si>
    <t xml:space="preserve">Longitudinal study</t>
  </si>
  <si>
    <t xml:space="preserve">England and Wales</t>
  </si>
  <si>
    <t xml:space="preserve">Separation effect; TA support and progress</t>
  </si>
  <si>
    <t xml:space="preserve">Briefing PDF</t>
  </si>
  <si>
    <t xml:space="preserve">Research Brief DCSF-RB148: https://discovery.ucl.ac.uk/id/eprint/10096858/1/Blatchford_DISS_project_summary.pdf
Full report DCSF-RR148: https://dera.ioe.ac.uk/id/eprint/10818/1/DCSF-RR148.pdf</t>
  </si>
  <si>
    <t xml:space="preserve">Verified: Research Brief DCSF-RB148 and Research Report DCSF-RR148, August 2009, Blatchford et al., IOE.</t>
  </si>
  <si>
    <t xml:space="preserve">D25</t>
  </si>
  <si>
    <t xml:space="preserve">Generative AI: product safety standards; generative AI in education guidance</t>
  </si>
  <si>
    <t xml:space="preserve">Product safety standards updated 19 January 2026; AI in education updated 12 August 2025</t>
  </si>
  <si>
    <t xml:space="preserve">AI governance</t>
  </si>
  <si>
    <t xml:space="preserve">Data handling guardrails; no personal data without approved route; DPIA</t>
  </si>
  <si>
    <t xml:space="preserve">Product safety standards: https://www.gov.uk/government/publications/generative-ai-product-safety-standards
Generative AI in education: https://www.gov.uk/government/publications/generative-artificial-intelligence-in-education</t>
  </si>
  <si>
    <t xml:space="preserve">Re-check both pages at each review</t>
  </si>
  <si>
    <t xml:space="preserve">CHANGED: 19 January 2026 is the update date of "Generative AI: product safety standards". "Generative AI in education" was last updated 12 August 2025.</t>
  </si>
  <si>
    <t xml:space="preserve">D26</t>
  </si>
  <si>
    <t xml:space="preserve">Special category data guidance (UK GDPR)</t>
  </si>
  <si>
    <t xml:space="preserve">Information Commissioner's Office</t>
  </si>
  <si>
    <t xml:space="preserve">Legal</t>
  </si>
  <si>
    <t xml:space="preserve">Health and SEN data handling</t>
  </si>
  <si>
    <t xml:space="preserve">HTML</t>
  </si>
  <si>
    <t xml:space="preserve">https://ico.org.uk/for-organisations/uk-gdpr-guidance-and-resources/lawful-basis/special-category-data/</t>
  </si>
  <si>
    <t xml:space="preserve">Verified. Page states it is under review following the Data (Use and Access) Act; re-check before each review.</t>
  </si>
  <si>
    <t xml:space="preserve">D27</t>
  </si>
  <si>
    <t xml:space="preserve">ChatGPT lesson preparation: Teacher Choices trial</t>
  </si>
  <si>
    <t xml:space="preserve">EEF / NFER</t>
  </si>
  <si>
    <t xml:space="preserve">RCT evaluation</t>
  </si>
  <si>
    <t xml:space="preserve">Evidence summary (AI)</t>
  </si>
  <si>
    <t xml:space="preserve">Strong (time); none (pupil outcomes)</t>
  </si>
  <si>
    <t xml:space="preserve">31% planning time saved; common use tailoring materials</t>
  </si>
  <si>
    <t xml:space="preserve">https://educationendowmentfoundation.org.uk/projects-and-evaluation/projects/choices-in-edtech-using-generative-ai-chatgpt-for-ks3-science-lesson-preparation-2024-teacher-choices-trial</t>
  </si>
  <si>
    <t xml:space="preserve">No pupil outcomes measured</t>
  </si>
  <si>
    <t xml:space="preserve">Verified: EEF/NFER Teacher Choices trial, KS3 science, summer term 2024; report uploaded 12 December 2024.</t>
  </si>
  <si>
    <t xml:space="preserve">D28</t>
  </si>
  <si>
    <t xml:space="preserve">Aila (Oak National Academy) Teacher Choices trial</t>
  </si>
  <si>
    <t xml:space="preserve">2026 (trial completed December 2025)</t>
  </si>
  <si>
    <t xml:space="preserve">Strong (time)</t>
  </si>
  <si>
    <t xml:space="preserve">Time saved does not equal better planning; teachers must check outputs</t>
  </si>
  <si>
    <t xml:space="preserve">https://educationendowmentfoundation.org.uk/projects-and-evaluation/projects/aila-teacher-choices-trial</t>
  </si>
  <si>
    <t xml:space="preserve">CHANGED: trial completed December 2025; NFER evaluation report uploaded 5 October 2026, so cite as 2026.</t>
  </si>
  <si>
    <t xml:space="preserve">D29</t>
  </si>
  <si>
    <t xml:space="preserve">Powerful knowledge and epistemic access</t>
  </si>
  <si>
    <t xml:space="preserve">Young and Muller; Morrow</t>
  </si>
  <si>
    <t xml:space="preserve">2013 onward</t>
  </si>
  <si>
    <t xml:space="preserve">Theory</t>
  </si>
  <si>
    <t xml:space="preserve">Normative frame</t>
  </si>
  <si>
    <t xml:space="preserve">Theoretical</t>
  </si>
  <si>
    <t xml:space="preserve">Grounds the same-objective invariant</t>
  </si>
  <si>
    <t xml:space="preserve">Articles</t>
  </si>
  <si>
    <t xml:space="preserve">Mixed</t>
  </si>
  <si>
    <t xml:space="preserve">Young and Muller 2013: https://doi.org/10.1002/rev3.3017
Morrow 2009 (book): https://hsrcpress.ac.za/product/bounds-of-democracy/
Deng 2022: https://doi.org/10.1080/00220272.2022.2089538</t>
  </si>
  <si>
    <t xml:space="preserve">Deng 2022 counter-view included</t>
  </si>
  <si>
    <t xml:space="preserve">Verified via Crossref and HSRC Press. Morrow 2009 is a book (HSRC Press). Deng 2022 full title adds "pushing the boundaries".</t>
  </si>
  <si>
    <t xml:space="preserve">Task ID</t>
  </si>
  <si>
    <t xml:space="preserve">Task</t>
  </si>
  <si>
    <t xml:space="preserve">Skill file</t>
  </si>
  <si>
    <t xml:space="preserve">Usage in this task</t>
  </si>
  <si>
    <t xml:space="preserve">Required or optional</t>
  </si>
  <si>
    <t xml:space="preserve">T1</t>
  </si>
  <si>
    <t xml:space="preserve">Adapt resource for access</t>
  </si>
  <si>
    <t xml:space="preserve">differentiate-for-dyslexia</t>
  </si>
  <si>
    <t xml:space="preserve">Formatting rules</t>
  </si>
  <si>
    <t xml:space="preserve">1</t>
  </si>
  <si>
    <t xml:space="preserve">Required</t>
  </si>
  <si>
    <t xml:space="preserve">Font caveat</t>
  </si>
  <si>
    <t xml:space="preserve">2</t>
  </si>
  <si>
    <t xml:space="preserve">Access not content; scaffolding</t>
  </si>
  <si>
    <t xml:space="preserve">Refuse learning-styles framing</t>
  </si>
  <si>
    <t xml:space="preserve">3</t>
  </si>
  <si>
    <t xml:space="preserve">Optional</t>
  </si>
  <si>
    <t xml:space="preserve">Adapt resource for access (VI)</t>
  </si>
  <si>
    <t xml:space="preserve">(future: modified-large-print)</t>
  </si>
  <si>
    <t xml:space="preserve">Print sizes</t>
  </si>
  <si>
    <t xml:space="preserve">MLP sizes; rebuild rule</t>
  </si>
  <si>
    <t xml:space="preserve">Adapt resource for access (HI)</t>
  </si>
  <si>
    <t xml:space="preserve">(future: deaf-accessible-media)</t>
  </si>
  <si>
    <t xml:space="preserve">Captions, seating</t>
  </si>
  <si>
    <t xml:space="preserve">Adapt resource for access (digital)</t>
  </si>
  <si>
    <t xml:space="preserve">all</t>
  </si>
  <si>
    <t xml:space="preserve">Digital checks</t>
  </si>
  <si>
    <t xml:space="preserve">T2</t>
  </si>
  <si>
    <t xml:space="preserve">Scaffolded task versions</t>
  </si>
  <si>
    <t xml:space="preserve">scaffolded-task-versions</t>
  </si>
  <si>
    <t xml:space="preserve">Scaffolding, explicit instruction, flexible grouping</t>
  </si>
  <si>
    <t xml:space="preserve">No distinct tasks or lower expectations</t>
  </si>
  <si>
    <t xml:space="preserve">Challenge fixed grouping</t>
  </si>
  <si>
    <t xml:space="preserve">Labelling risk</t>
  </si>
  <si>
    <t xml:space="preserve">Same objective invariant</t>
  </si>
  <si>
    <t xml:space="preserve">T3</t>
  </si>
  <si>
    <t xml:space="preserve">Pre-teach vocabulary</t>
  </si>
  <si>
    <t xml:space="preserve">preteach-vocabulary-eal</t>
  </si>
  <si>
    <t xml:space="preserve">Pre-teach Tier 2 (primary)</t>
  </si>
  <si>
    <t xml:space="preserve">Disciplinary vocabulary (secondary)</t>
  </si>
  <si>
    <t xml:space="preserve">DLD prevalence and persistence</t>
  </si>
  <si>
    <t xml:space="preserve">EAL interventions; elaboration</t>
  </si>
  <si>
    <t xml:space="preserve">T6</t>
  </si>
  <si>
    <t xml:space="preserve">Adaptive teaching audit</t>
  </si>
  <si>
    <t xml:space="preserve">adaptive-teaching-audit</t>
  </si>
  <si>
    <t xml:space="preserve">5-a-day criteria</t>
  </si>
  <si>
    <t xml:space="preserve">England statutory frame</t>
  </si>
  <si>
    <t xml:space="preserve">Required (England)</t>
  </si>
  <si>
    <t xml:space="preserve">Scotland statutory frame</t>
  </si>
  <si>
    <t xml:space="preserve">Required (Scotland)</t>
  </si>
  <si>
    <t xml:space="preserve">Wales statutory frame</t>
  </si>
  <si>
    <t xml:space="preserve">Required (Wales)</t>
  </si>
  <si>
    <t xml:space="preserve">Grouping and TA flags</t>
  </si>
  <si>
    <t xml:space="preserve">TA separation flag</t>
  </si>
  <si>
    <t xml:space="preserve">Learning-styles flag</t>
  </si>
  <si>
    <t xml:space="preserve">T7</t>
  </si>
  <si>
    <t xml:space="preserve">Visual supports</t>
  </si>
  <si>
    <t xml:space="preserve">visual-schedule-autism</t>
  </si>
  <si>
    <t xml:space="preserve">Visual supports, task analysis EBPs</t>
  </si>
  <si>
    <t xml:space="preserve">Predictable environment</t>
  </si>
  <si>
    <t xml:space="preserve">T8</t>
  </si>
  <si>
    <t xml:space="preserve">Maths worked examples</t>
  </si>
  <si>
    <t xml:space="preserve">(future: maths-representations)</t>
  </si>
  <si>
    <t xml:space="preserve">Representations, number line, word problems</t>
  </si>
  <si>
    <t xml:space="preserve">ALL</t>
  </si>
  <si>
    <t xml:space="preserve">Every task</t>
  </si>
  <si>
    <t xml:space="preserve">Data handling guardrails</t>
  </si>
  <si>
    <t xml:space="preserve">Special category data</t>
  </si>
  <si>
    <t xml:space="preserve">Every differentiation task</t>
  </si>
  <si>
    <t xml:space="preserve">negative_evidence_register.md</t>
  </si>
  <si>
    <t xml:space="preserve">Challenge triggers</t>
  </si>
  <si>
    <t xml:space="preserve">jurisdiction_terminology.md</t>
  </si>
  <si>
    <t xml:space="preserve">Vocabulary by nation</t>
  </si>
  <si>
    <t xml:space="preserve">Documents per cluster (counts update if the Documents sheet changes)</t>
  </si>
  <si>
    <t xml:space="preserve">Count</t>
  </si>
  <si>
    <t xml:space="preserve">Total documents</t>
  </si>
  <si>
    <t xml:space="preserve">Documents by evidence strength (first word)</t>
  </si>
  <si>
    <t xml:space="preserve">Strength</t>
  </si>
  <si>
    <t xml:space="preserve">Note: cluster counts use exact matching; strength counts match the first word. Source: Documents sheet in this workbook.</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</si>
</sst>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b val="true"/>
      <sz val="11"/>
      <name val="Arial"/>
      <family val="0"/>
      <charset val="1"/>
    </font>
    <font>
      <i val="true"/>
      <sz val="9"/>
      <name val="Arial"/>
      <family val="0"/>
      <charset val="1"/>
    </font>
  </fonts>
  <fills count="3">
    <fill>
      <patternFill patternType="none"/>
    </fill>
    <fill>
      <patternFill patternType="gray125"/>
    </fill>
    <fill>
      <patternFill patternType="solid">
        <fgColor rgb="FF2F5496"/>
        <bgColor rgb="FF0563C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educationendowmentfoundation.org.uk/education-evidence/guidance-reports/send" TargetMode="External"/><Relationship Id="rId2" Type="http://schemas.openxmlformats.org/officeDocument/2006/relationships/hyperlink" Target="https://educationendowmentfoundation.org.uk/education-evidence/teaching-learning-toolkit/setting-and-streaming" TargetMode="External"/><Relationship Id="rId3" Type="http://schemas.openxmlformats.org/officeDocument/2006/relationships/hyperlink" Target="https://educationendowmentfoundation.org.uk/education-evidence/guidance-reports/teaching-assistants" TargetMode="External"/><Relationship Id="rId4" Type="http://schemas.openxmlformats.org/officeDocument/2006/relationships/hyperlink" Target="https://educationendowmentfoundation.org.uk/education-evidence/guidance-reports/literacy-ks2" TargetMode="External"/><Relationship Id="rId5" Type="http://schemas.openxmlformats.org/officeDocument/2006/relationships/hyperlink" Target="https://educationendowmentfoundation.org.uk/education-evidence/guidance-reports/literacy-ks3-ks4" TargetMode="External"/><Relationship Id="rId6" Type="http://schemas.openxmlformats.org/officeDocument/2006/relationships/hyperlink" Target="https://www.gov.uk/government/publications/send-code-of-practice-0-to-25" TargetMode="External"/><Relationship Id="rId7" Type="http://schemas.openxmlformats.org/officeDocument/2006/relationships/hyperlink" Target="https://www.gov.uk/government/publications/teachers-standards" TargetMode="External"/><Relationship Id="rId8" Type="http://schemas.openxmlformats.org/officeDocument/2006/relationships/hyperlink" Target="https://www.gov.scot/publications/supporting-childrens-learning-code-practice-statutory-guidance-education-additional-support-learning-scotland-act-2004-fourth-edition-2026/" TargetMode="External"/><Relationship Id="rId9" Type="http://schemas.openxmlformats.org/officeDocument/2006/relationships/hyperlink" Target="https://www.gov.wales/additional-learning-needs-code" TargetMode="External"/><Relationship Id="rId10" Type="http://schemas.openxmlformats.org/officeDocument/2006/relationships/hyperlink" Target="https://www.bdadyslexia.org.uk/advice/employers/creating-a-dyslexia-friendly-workplace/dyslexia-friendly-style-guide" TargetMode="External"/><Relationship Id="rId11" Type="http://schemas.openxmlformats.org/officeDocument/2006/relationships/hyperlink" Target="https://dyslexiascotland.org.uk/dyslexia-friendly-typed-formats/" TargetMode="External"/><Relationship Id="rId12" Type="http://schemas.openxmlformats.org/officeDocument/2006/relationships/hyperlink" Target="https://www.ukaaf.org/wp-content/uploads/2024/12/G003-UKAAF-Creating-clear-print-and-large-print-documents-v4.pdf" TargetMode="External"/><Relationship Id="rId13" Type="http://schemas.openxmlformats.org/officeDocument/2006/relationships/hyperlink" Target="https://www.rnib.org.uk/professionals/education-professionals/access-to-exams-and-tests/" TargetMode="External"/><Relationship Id="rId14" Type="http://schemas.openxmlformats.org/officeDocument/2006/relationships/hyperlink" Target="https://www.ndcs.org.uk/education-professionals/creating-good-communication-environment-educator" TargetMode="External"/><Relationship Id="rId15" Type="http://schemas.openxmlformats.org/officeDocument/2006/relationships/hyperlink" Target="https://www.w3.org/TR/WCAG22/" TargetMode="External"/><Relationship Id="rId16" Type="http://schemas.openxmlformats.org/officeDocument/2006/relationships/hyperlink" Target="https://ncaep.fpg.unc.edu/wp-content/uploads/EBP-Report-2020.pdf" TargetMode="External"/><Relationship Id="rId17" Type="http://schemas.openxmlformats.org/officeDocument/2006/relationships/hyperlink" Target="https://ies.ed.gov/ncee/wwc/PracticeGuide/26" TargetMode="External"/><Relationship Id="rId18" Type="http://schemas.openxmlformats.org/officeDocument/2006/relationships/hyperlink" Target="https://doi.org/10.1080/02796015.2012.12087496" TargetMode="External"/><Relationship Id="rId19" Type="http://schemas.openxmlformats.org/officeDocument/2006/relationships/hyperlink" Target="https://doi.org/10.1111/jcpp.12573" TargetMode="External"/><Relationship Id="rId20" Type="http://schemas.openxmlformats.org/officeDocument/2006/relationships/hyperlink" Target="https://educationendowmentfoundation.org.uk/education-evidence/evidence-reviews/english-as-an-additional-language-eal" TargetMode="External"/><Relationship Id="rId21" Type="http://schemas.openxmlformats.org/officeDocument/2006/relationships/hyperlink" Target="https://doi.org/10.1016/j.edurev.2018.02.002" TargetMode="External"/><Relationship Id="rId22" Type="http://schemas.openxmlformats.org/officeDocument/2006/relationships/hyperlink" Target="https://doi.org/10.3389/fpsyg.2019.02366" TargetMode="External"/><Relationship Id="rId23" Type="http://schemas.openxmlformats.org/officeDocument/2006/relationships/hyperlink" Target="https://doi.org/10.1111/j.1539-6053.2009.01038.x" TargetMode="External"/><Relationship Id="rId24" Type="http://schemas.openxmlformats.org/officeDocument/2006/relationships/hyperlink" Target="https://discovery.ucl.ac.uk/id/eprint/10096858/1/Blatchford_DISS_project_summary.pdf" TargetMode="External"/><Relationship Id="rId25" Type="http://schemas.openxmlformats.org/officeDocument/2006/relationships/hyperlink" Target="https://www.gov.uk/government/publications/generative-ai-product-safety-standards" TargetMode="External"/><Relationship Id="rId26" Type="http://schemas.openxmlformats.org/officeDocument/2006/relationships/hyperlink" Target="https://ico.org.uk/for-organisations/uk-gdpr-guidance-and-resources/lawful-basis/special-category-data/" TargetMode="External"/><Relationship Id="rId27" Type="http://schemas.openxmlformats.org/officeDocument/2006/relationships/hyperlink" Target="https://educationendowmentfoundation.org.uk/projects-and-evaluation/projects/choices-in-edtech-using-generative-ai-chatgpt-for-ks3-science-lesson-preparation-2024-teacher-choices-trial" TargetMode="External"/><Relationship Id="rId28" Type="http://schemas.openxmlformats.org/officeDocument/2006/relationships/hyperlink" Target="https://educationendowmentfoundation.org.uk/projects-and-evaluation/projects/aila-teacher-choices-trial" TargetMode="External"/><Relationship Id="rId29" Type="http://schemas.openxmlformats.org/officeDocument/2006/relationships/hyperlink" Target="https://doi.org/10.1002/rev3.3017" TargetMode="External"/><Relationship Id="rId30"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10"/>
  </cols>
  <sheetData>
    <row r="1" customFormat="false" ht="15" hidden="false" customHeight="true" outlineLevel="0" collapsed="false">
      <c r="A1" s="2" t="s">
        <v>0</v>
      </c>
    </row>
    <row r="3" customFormat="false" ht="23.25" hidden="false" customHeight="true" outlineLevel="0" collapsed="false">
      <c r="A3" s="3" t="s">
        <v>1</v>
      </c>
      <c r="B3" s="4" t="s">
        <v>2</v>
      </c>
    </row>
    <row r="4" customFormat="false" ht="23.25" hidden="false" customHeight="true" outlineLevel="0" collapsed="false">
      <c r="A4" s="3" t="s">
        <v>3</v>
      </c>
      <c r="B4" s="4" t="s">
        <v>4</v>
      </c>
    </row>
    <row r="5" customFormat="false" ht="15" hidden="false" customHeight="true" outlineLevel="0" collapsed="false">
      <c r="A5" s="3" t="s">
        <v>5</v>
      </c>
      <c r="B5" s="4" t="s">
        <v>6</v>
      </c>
    </row>
    <row r="6" customFormat="false" ht="23.25" hidden="false" customHeight="true" outlineLevel="0" collapsed="false">
      <c r="A6" s="3" t="s">
        <v>7</v>
      </c>
      <c r="B6" s="4" t="s">
        <v>8</v>
      </c>
    </row>
    <row r="7" customFormat="false" ht="23.25" hidden="false" customHeight="true" outlineLevel="0" collapsed="false">
      <c r="A7" s="3" t="s">
        <v>9</v>
      </c>
      <c r="B7" s="4" t="s">
        <v>10</v>
      </c>
    </row>
    <row r="8" customFormat="false" ht="15" hidden="false" customHeight="true" outlineLevel="0" collapsed="false">
      <c r="A8" s="3" t="s">
        <v>11</v>
      </c>
      <c r="B8" s="4" t="s">
        <v>12</v>
      </c>
    </row>
    <row r="9" customFormat="false" ht="15" hidden="false" customHeight="true" outlineLevel="0" collapsed="false">
      <c r="A9" s="3" t="s">
        <v>13</v>
      </c>
      <c r="B9" s="4" t="s">
        <v>14</v>
      </c>
    </row>
    <row r="10" customFormat="false" ht="23.25" hidden="false" customHeight="true" outlineLevel="0" collapsed="false">
      <c r="A10" s="3" t="s">
        <v>15</v>
      </c>
      <c r="B10" s="4" t="s">
        <v>16</v>
      </c>
    </row>
    <row r="11" customFormat="false" ht="15" hidden="false" customHeight="true" outlineLevel="0" collapsed="false">
      <c r="A11" s="3" t="s">
        <v>17</v>
      </c>
      <c r="B11" s="4" t="s">
        <v>18</v>
      </c>
    </row>
    <row r="12" customFormat="false" ht="23.25" hidden="false" customHeight="true" outlineLevel="0" collapsed="false">
      <c r="A12" s="3" t="s">
        <v>19</v>
      </c>
      <c r="B12"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3" min="3" style="1" width="28"/>
    <col collapsed="false" customWidth="true" hidden="false" outlineLevel="0" max="5" min="4" style="1" width="16"/>
    <col collapsed="false" customWidth="true" hidden="false" outlineLevel="0" max="6" min="6" style="1" width="22"/>
    <col collapsed="false" customWidth="true" hidden="false" outlineLevel="0" max="7" min="7" style="1" width="18"/>
    <col collapsed="false" customWidth="true" hidden="false" outlineLevel="0" max="8" min="8" style="1" width="16"/>
    <col collapsed="false" customWidth="true" hidden="false" outlineLevel="0" max="9" min="9" style="1" width="22"/>
    <col collapsed="false" customWidth="true" hidden="false" outlineLevel="0" max="10" min="10" style="1" width="20"/>
    <col collapsed="false" customWidth="true" hidden="false" outlineLevel="0" max="11" min="11" style="1" width="40"/>
    <col collapsed="false" customWidth="true" hidden="false" outlineLevel="0" max="12" min="12" style="1" width="24"/>
    <col collapsed="false" customWidth="true" hidden="false" outlineLevel="0" max="13" min="13" style="1" width="14"/>
    <col collapsed="false" customWidth="true" hidden="false" outlineLevel="0" max="14" min="14" style="1" width="18"/>
    <col collapsed="false" customWidth="true" hidden="false" outlineLevel="0" max="16" min="15" style="1" width="12"/>
    <col collapsed="false" customWidth="true" hidden="false" outlineLevel="0" max="18" min="17" style="1" width="60"/>
    <col collapsed="false" customWidth="true" hidden="false" outlineLevel="0" max="19" min="19" style="0" width="55"/>
  </cols>
  <sheetData>
    <row r="1" customFormat="false" ht="23.25" hidden="false" customHeight="true" outlineLevel="0" collapsed="false">
      <c r="A1" s="5" t="s">
        <v>21</v>
      </c>
      <c r="B1" s="5" t="s">
        <v>22</v>
      </c>
      <c r="C1" s="5" t="s">
        <v>23</v>
      </c>
      <c r="D1" s="5" t="s">
        <v>24</v>
      </c>
      <c r="E1" s="5" t="s">
        <v>25</v>
      </c>
      <c r="F1" s="5" t="s">
        <v>26</v>
      </c>
      <c r="G1" s="5" t="s">
        <v>27</v>
      </c>
      <c r="H1" s="5" t="s">
        <v>28</v>
      </c>
      <c r="I1" s="5" t="s">
        <v>29</v>
      </c>
      <c r="J1" s="5" t="s">
        <v>11</v>
      </c>
      <c r="K1" s="5" t="s">
        <v>30</v>
      </c>
      <c r="L1" s="5" t="s">
        <v>9</v>
      </c>
      <c r="M1" s="5" t="s">
        <v>31</v>
      </c>
      <c r="N1" s="5" t="s">
        <v>32</v>
      </c>
      <c r="O1" s="5" t="s">
        <v>33</v>
      </c>
      <c r="P1" s="5" t="s">
        <v>15</v>
      </c>
      <c r="Q1" s="5" t="s">
        <v>34</v>
      </c>
      <c r="R1" s="5" t="s">
        <v>35</v>
      </c>
      <c r="S1" s="5" t="s">
        <v>36</v>
      </c>
    </row>
    <row r="2" customFormat="false" ht="39" hidden="false" customHeight="true" outlineLevel="0" collapsed="false">
      <c r="A2" s="4" t="s">
        <v>37</v>
      </c>
      <c r="B2" s="4" t="s">
        <v>38</v>
      </c>
      <c r="C2" s="4" t="s">
        <v>39</v>
      </c>
      <c r="D2" s="4" t="s">
        <v>40</v>
      </c>
      <c r="E2" s="4" t="s">
        <v>41</v>
      </c>
      <c r="F2" s="4" t="s">
        <v>42</v>
      </c>
      <c r="G2" s="4" t="s">
        <v>43</v>
      </c>
      <c r="H2" s="4" t="s">
        <v>44</v>
      </c>
      <c r="I2" s="4" t="s">
        <v>45</v>
      </c>
      <c r="J2" s="4" t="s">
        <v>46</v>
      </c>
      <c r="K2" s="4" t="s">
        <v>47</v>
      </c>
      <c r="L2" s="4" t="s">
        <v>48</v>
      </c>
      <c r="M2" s="4" t="s">
        <v>49</v>
      </c>
      <c r="N2" s="4" t="s">
        <v>50</v>
      </c>
      <c r="O2" s="4" t="s">
        <v>51</v>
      </c>
      <c r="P2" s="4" t="s">
        <v>52</v>
      </c>
      <c r="Q2" s="6" t="s">
        <v>53</v>
      </c>
      <c r="R2" s="4" t="s">
        <v>54</v>
      </c>
      <c r="S2" s="4" t="s">
        <v>55</v>
      </c>
    </row>
    <row r="3" customFormat="false" ht="78" hidden="false" customHeight="true" outlineLevel="0" collapsed="false">
      <c r="A3" s="4" t="s">
        <v>56</v>
      </c>
      <c r="B3" s="4" t="s">
        <v>57</v>
      </c>
      <c r="C3" s="4" t="s">
        <v>58</v>
      </c>
      <c r="D3" s="4" t="s">
        <v>59</v>
      </c>
      <c r="E3" s="4" t="s">
        <v>60</v>
      </c>
      <c r="F3" s="4" t="s">
        <v>61</v>
      </c>
      <c r="G3" s="4" t="s">
        <v>62</v>
      </c>
      <c r="H3" s="4" t="s">
        <v>44</v>
      </c>
      <c r="I3" s="4" t="s">
        <v>63</v>
      </c>
      <c r="J3" s="4" t="s">
        <v>64</v>
      </c>
      <c r="K3" s="4" t="s">
        <v>65</v>
      </c>
      <c r="L3" s="4" t="s">
        <v>66</v>
      </c>
      <c r="M3" s="4" t="s">
        <v>67</v>
      </c>
      <c r="N3" s="4" t="s">
        <v>68</v>
      </c>
      <c r="O3" s="4" t="s">
        <v>51</v>
      </c>
      <c r="P3" s="4" t="s">
        <v>69</v>
      </c>
      <c r="Q3" s="6" t="s">
        <v>70</v>
      </c>
      <c r="R3" s="4" t="s">
        <v>71</v>
      </c>
      <c r="S3" s="4" t="s">
        <v>72</v>
      </c>
    </row>
    <row r="4" customFormat="false" ht="39" hidden="false" customHeight="true" outlineLevel="0" collapsed="false">
      <c r="A4" s="4" t="s">
        <v>73</v>
      </c>
      <c r="B4" s="4" t="s">
        <v>74</v>
      </c>
      <c r="C4" s="4" t="s">
        <v>58</v>
      </c>
      <c r="D4" s="4" t="s">
        <v>75</v>
      </c>
      <c r="E4" s="4" t="s">
        <v>41</v>
      </c>
      <c r="F4" s="4" t="s">
        <v>42</v>
      </c>
      <c r="G4" s="4" t="s">
        <v>62</v>
      </c>
      <c r="H4" s="4" t="s">
        <v>44</v>
      </c>
      <c r="I4" s="4" t="s">
        <v>45</v>
      </c>
      <c r="J4" s="4" t="s">
        <v>76</v>
      </c>
      <c r="K4" s="4" t="s">
        <v>77</v>
      </c>
      <c r="L4" s="4" t="s">
        <v>78</v>
      </c>
      <c r="M4" s="4" t="s">
        <v>79</v>
      </c>
      <c r="N4" s="4" t="s">
        <v>68</v>
      </c>
      <c r="O4" s="4" t="s">
        <v>51</v>
      </c>
      <c r="P4" s="4" t="s">
        <v>52</v>
      </c>
      <c r="Q4" s="6" t="s">
        <v>80</v>
      </c>
      <c r="R4" s="4" t="s">
        <v>81</v>
      </c>
      <c r="S4" s="4" t="s">
        <v>82</v>
      </c>
    </row>
    <row r="5" customFormat="false" ht="39" hidden="false" customHeight="true" outlineLevel="0" collapsed="false">
      <c r="A5" s="4" t="s">
        <v>83</v>
      </c>
      <c r="B5" s="4" t="s">
        <v>84</v>
      </c>
      <c r="C5" s="4" t="s">
        <v>85</v>
      </c>
      <c r="D5" s="4" t="s">
        <v>86</v>
      </c>
      <c r="E5" s="4" t="s">
        <v>41</v>
      </c>
      <c r="F5" s="4" t="s">
        <v>42</v>
      </c>
      <c r="G5" s="4" t="s">
        <v>87</v>
      </c>
      <c r="H5" s="4" t="s">
        <v>88</v>
      </c>
      <c r="I5" s="4" t="s">
        <v>89</v>
      </c>
      <c r="J5" s="4" t="s">
        <v>76</v>
      </c>
      <c r="K5" s="4" t="s">
        <v>90</v>
      </c>
      <c r="L5" s="4" t="s">
        <v>78</v>
      </c>
      <c r="M5" s="4" t="s">
        <v>79</v>
      </c>
      <c r="N5" s="4" t="s">
        <v>68</v>
      </c>
      <c r="O5" s="4" t="s">
        <v>51</v>
      </c>
      <c r="P5" s="4" t="s">
        <v>52</v>
      </c>
      <c r="Q5" s="6" t="s">
        <v>91</v>
      </c>
      <c r="R5" s="4" t="s">
        <v>92</v>
      </c>
      <c r="S5" s="4" t="s">
        <v>93</v>
      </c>
    </row>
    <row r="6" customFormat="false" ht="39" hidden="false" customHeight="true" outlineLevel="0" collapsed="false">
      <c r="A6" s="4" t="s">
        <v>94</v>
      </c>
      <c r="B6" s="4" t="s">
        <v>95</v>
      </c>
      <c r="C6" s="4" t="s">
        <v>85</v>
      </c>
      <c r="D6" s="4" t="s">
        <v>96</v>
      </c>
      <c r="E6" s="4" t="s">
        <v>41</v>
      </c>
      <c r="F6" s="4" t="s">
        <v>42</v>
      </c>
      <c r="G6" s="4" t="s">
        <v>87</v>
      </c>
      <c r="H6" s="4" t="s">
        <v>97</v>
      </c>
      <c r="I6" s="4" t="s">
        <v>89</v>
      </c>
      <c r="J6" s="4" t="s">
        <v>76</v>
      </c>
      <c r="K6" s="4" t="s">
        <v>98</v>
      </c>
      <c r="L6" s="4" t="s">
        <v>78</v>
      </c>
      <c r="M6" s="4" t="s">
        <v>79</v>
      </c>
      <c r="N6" s="4" t="s">
        <v>68</v>
      </c>
      <c r="O6" s="4" t="s">
        <v>51</v>
      </c>
      <c r="P6" s="4" t="s">
        <v>52</v>
      </c>
      <c r="Q6" s="6" t="s">
        <v>99</v>
      </c>
      <c r="R6" s="4"/>
      <c r="S6" s="4" t="s">
        <v>100</v>
      </c>
    </row>
    <row r="7" customFormat="false" ht="39" hidden="false" customHeight="true" outlineLevel="0" collapsed="false">
      <c r="A7" s="4" t="s">
        <v>101</v>
      </c>
      <c r="B7" s="4" t="s">
        <v>102</v>
      </c>
      <c r="C7" s="4" t="s">
        <v>103</v>
      </c>
      <c r="D7" s="4" t="s">
        <v>104</v>
      </c>
      <c r="E7" s="4" t="s">
        <v>105</v>
      </c>
      <c r="F7" s="4" t="s">
        <v>106</v>
      </c>
      <c r="G7" s="4" t="s">
        <v>87</v>
      </c>
      <c r="H7" s="4" t="s">
        <v>63</v>
      </c>
      <c r="I7" s="4" t="s">
        <v>45</v>
      </c>
      <c r="J7" s="4" t="s">
        <v>107</v>
      </c>
      <c r="K7" s="4" t="s">
        <v>108</v>
      </c>
      <c r="L7" s="4" t="s">
        <v>109</v>
      </c>
      <c r="M7" s="4" t="s">
        <v>110</v>
      </c>
      <c r="N7" s="4" t="s">
        <v>111</v>
      </c>
      <c r="O7" s="4" t="s">
        <v>51</v>
      </c>
      <c r="P7" s="4" t="s">
        <v>112</v>
      </c>
      <c r="Q7" s="6" t="s">
        <v>113</v>
      </c>
      <c r="R7" s="4" t="s">
        <v>114</v>
      </c>
      <c r="S7" s="4" t="s">
        <v>115</v>
      </c>
    </row>
    <row r="8" customFormat="false" ht="103.5" hidden="false" customHeight="true" outlineLevel="0" collapsed="false">
      <c r="A8" s="4" t="s">
        <v>116</v>
      </c>
      <c r="B8" s="4" t="s">
        <v>117</v>
      </c>
      <c r="C8" s="4" t="s">
        <v>118</v>
      </c>
      <c r="D8" s="4" t="s">
        <v>119</v>
      </c>
      <c r="E8" s="4" t="s">
        <v>120</v>
      </c>
      <c r="F8" s="4" t="s">
        <v>106</v>
      </c>
      <c r="G8" s="4" t="s">
        <v>87</v>
      </c>
      <c r="H8" s="4" t="s">
        <v>63</v>
      </c>
      <c r="I8" s="4" t="s">
        <v>63</v>
      </c>
      <c r="J8" s="4" t="s">
        <v>121</v>
      </c>
      <c r="K8" s="4" t="s">
        <v>122</v>
      </c>
      <c r="L8" s="4" t="s">
        <v>123</v>
      </c>
      <c r="M8" s="4" t="s">
        <v>67</v>
      </c>
      <c r="N8" s="4" t="s">
        <v>124</v>
      </c>
      <c r="O8" s="4" t="s">
        <v>51</v>
      </c>
      <c r="P8" s="4" t="s">
        <v>112</v>
      </c>
      <c r="Q8" s="6" t="s">
        <v>125</v>
      </c>
      <c r="R8" s="4"/>
      <c r="S8" s="4" t="s">
        <v>126</v>
      </c>
    </row>
    <row r="9" customFormat="false" ht="39" hidden="false" customHeight="true" outlineLevel="0" collapsed="false">
      <c r="A9" s="4" t="s">
        <v>127</v>
      </c>
      <c r="B9" s="4" t="s">
        <v>128</v>
      </c>
      <c r="C9" s="4" t="s">
        <v>129</v>
      </c>
      <c r="D9" s="4" t="s">
        <v>130</v>
      </c>
      <c r="E9" s="4" t="s">
        <v>105</v>
      </c>
      <c r="F9" s="4" t="s">
        <v>106</v>
      </c>
      <c r="G9" s="4" t="s">
        <v>131</v>
      </c>
      <c r="H9" s="4" t="s">
        <v>63</v>
      </c>
      <c r="I9" s="4" t="s">
        <v>132</v>
      </c>
      <c r="J9" s="4" t="s">
        <v>107</v>
      </c>
      <c r="K9" s="4" t="s">
        <v>133</v>
      </c>
      <c r="L9" s="4" t="s">
        <v>123</v>
      </c>
      <c r="M9" s="4" t="s">
        <v>134</v>
      </c>
      <c r="N9" s="4" t="s">
        <v>124</v>
      </c>
      <c r="O9" s="4" t="s">
        <v>51</v>
      </c>
      <c r="P9" s="4" t="s">
        <v>112</v>
      </c>
      <c r="Q9" s="6" t="s">
        <v>135</v>
      </c>
      <c r="R9" s="4" t="s">
        <v>136</v>
      </c>
      <c r="S9" s="4" t="s">
        <v>137</v>
      </c>
    </row>
    <row r="10" customFormat="false" ht="78" hidden="false" customHeight="true" outlineLevel="0" collapsed="false">
      <c r="A10" s="4" t="s">
        <v>138</v>
      </c>
      <c r="B10" s="4" t="s">
        <v>139</v>
      </c>
      <c r="C10" s="4" t="s">
        <v>140</v>
      </c>
      <c r="D10" s="4" t="s">
        <v>141</v>
      </c>
      <c r="E10" s="4" t="s">
        <v>105</v>
      </c>
      <c r="F10" s="4" t="s">
        <v>106</v>
      </c>
      <c r="G10" s="4" t="s">
        <v>142</v>
      </c>
      <c r="H10" s="4" t="s">
        <v>63</v>
      </c>
      <c r="I10" s="4" t="s">
        <v>143</v>
      </c>
      <c r="J10" s="4" t="s">
        <v>107</v>
      </c>
      <c r="K10" s="4" t="s">
        <v>144</v>
      </c>
      <c r="L10" s="4" t="s">
        <v>123</v>
      </c>
      <c r="M10" s="4" t="s">
        <v>110</v>
      </c>
      <c r="N10" s="4" t="s">
        <v>124</v>
      </c>
      <c r="O10" s="4" t="s">
        <v>51</v>
      </c>
      <c r="P10" s="4" t="s">
        <v>112</v>
      </c>
      <c r="Q10" s="6" t="s">
        <v>145</v>
      </c>
      <c r="R10" s="4" t="s">
        <v>146</v>
      </c>
      <c r="S10" s="4" t="s">
        <v>147</v>
      </c>
    </row>
    <row r="11" customFormat="false" ht="39" hidden="false" customHeight="true" outlineLevel="0" collapsed="false">
      <c r="A11" s="4" t="s">
        <v>148</v>
      </c>
      <c r="B11" s="4" t="s">
        <v>149</v>
      </c>
      <c r="C11" s="4" t="s">
        <v>150</v>
      </c>
      <c r="D11" s="4" t="s">
        <v>151</v>
      </c>
      <c r="E11" s="4" t="s">
        <v>152</v>
      </c>
      <c r="F11" s="4" t="s">
        <v>153</v>
      </c>
      <c r="G11" s="4" t="s">
        <v>62</v>
      </c>
      <c r="H11" s="4" t="s">
        <v>63</v>
      </c>
      <c r="I11" s="4" t="s">
        <v>154</v>
      </c>
      <c r="J11" s="4" t="s">
        <v>155</v>
      </c>
      <c r="K11" s="4" t="s">
        <v>156</v>
      </c>
      <c r="L11" s="4" t="s">
        <v>157</v>
      </c>
      <c r="M11" s="4" t="s">
        <v>158</v>
      </c>
      <c r="N11" s="4" t="s">
        <v>68</v>
      </c>
      <c r="O11" s="4" t="s">
        <v>51</v>
      </c>
      <c r="P11" s="4" t="s">
        <v>159</v>
      </c>
      <c r="Q11" s="6" t="s">
        <v>160</v>
      </c>
      <c r="R11" s="4" t="s">
        <v>161</v>
      </c>
      <c r="S11" s="4" t="s">
        <v>162</v>
      </c>
    </row>
    <row r="12" customFormat="false" ht="51.75" hidden="false" customHeight="true" outlineLevel="0" collapsed="false">
      <c r="A12" s="4" t="s">
        <v>163</v>
      </c>
      <c r="B12" s="4" t="s">
        <v>164</v>
      </c>
      <c r="C12" s="4" t="s">
        <v>165</v>
      </c>
      <c r="D12" s="4" t="s">
        <v>166</v>
      </c>
      <c r="E12" s="4" t="s">
        <v>167</v>
      </c>
      <c r="F12" s="4" t="s">
        <v>153</v>
      </c>
      <c r="G12" s="4" t="s">
        <v>168</v>
      </c>
      <c r="H12" s="4" t="s">
        <v>63</v>
      </c>
      <c r="I12" s="4" t="s">
        <v>169</v>
      </c>
      <c r="J12" s="4" t="s">
        <v>170</v>
      </c>
      <c r="K12" s="4" t="s">
        <v>171</v>
      </c>
      <c r="L12" s="4" t="s">
        <v>172</v>
      </c>
      <c r="M12" s="4" t="s">
        <v>110</v>
      </c>
      <c r="N12" s="4" t="s">
        <v>68</v>
      </c>
      <c r="O12" s="4" t="s">
        <v>51</v>
      </c>
      <c r="P12" s="4" t="s">
        <v>159</v>
      </c>
      <c r="Q12" s="6" t="s">
        <v>173</v>
      </c>
      <c r="R12" s="4"/>
      <c r="S12" s="4" t="s">
        <v>174</v>
      </c>
    </row>
    <row r="13" customFormat="false" ht="39" hidden="false" customHeight="true" outlineLevel="0" collapsed="false">
      <c r="A13" s="4" t="s">
        <v>175</v>
      </c>
      <c r="B13" s="4" t="s">
        <v>176</v>
      </c>
      <c r="C13" s="4" t="s">
        <v>177</v>
      </c>
      <c r="D13" s="4" t="s">
        <v>178</v>
      </c>
      <c r="E13" s="4" t="s">
        <v>152</v>
      </c>
      <c r="F13" s="4" t="s">
        <v>153</v>
      </c>
      <c r="G13" s="4" t="s">
        <v>62</v>
      </c>
      <c r="H13" s="4" t="s">
        <v>63</v>
      </c>
      <c r="I13" s="4" t="s">
        <v>179</v>
      </c>
      <c r="J13" s="4" t="s">
        <v>155</v>
      </c>
      <c r="K13" s="4" t="s">
        <v>180</v>
      </c>
      <c r="L13" s="4" t="s">
        <v>181</v>
      </c>
      <c r="M13" s="4" t="s">
        <v>110</v>
      </c>
      <c r="N13" s="4" t="s">
        <v>68</v>
      </c>
      <c r="O13" s="4" t="s">
        <v>51</v>
      </c>
      <c r="P13" s="4" t="s">
        <v>159</v>
      </c>
      <c r="Q13" s="6" t="s">
        <v>182</v>
      </c>
      <c r="R13" s="4"/>
      <c r="S13" s="4" t="s">
        <v>183</v>
      </c>
    </row>
    <row r="14" customFormat="false" ht="39" hidden="false" customHeight="true" outlineLevel="0" collapsed="false">
      <c r="A14" s="4" t="s">
        <v>184</v>
      </c>
      <c r="B14" s="4" t="s">
        <v>185</v>
      </c>
      <c r="C14" s="4" t="s">
        <v>186</v>
      </c>
      <c r="D14" s="4" t="s">
        <v>187</v>
      </c>
      <c r="E14" s="4" t="s">
        <v>152</v>
      </c>
      <c r="F14" s="4" t="s">
        <v>153</v>
      </c>
      <c r="G14" s="4" t="s">
        <v>62</v>
      </c>
      <c r="H14" s="4" t="s">
        <v>63</v>
      </c>
      <c r="I14" s="4" t="s">
        <v>179</v>
      </c>
      <c r="J14" s="4" t="s">
        <v>155</v>
      </c>
      <c r="K14" s="4" t="s">
        <v>188</v>
      </c>
      <c r="L14" s="4" t="s">
        <v>172</v>
      </c>
      <c r="M14" s="4" t="s">
        <v>134</v>
      </c>
      <c r="N14" s="4" t="s">
        <v>68</v>
      </c>
      <c r="O14" s="4" t="s">
        <v>51</v>
      </c>
      <c r="P14" s="4" t="s">
        <v>159</v>
      </c>
      <c r="Q14" s="6" t="s">
        <v>189</v>
      </c>
      <c r="R14" s="4" t="s">
        <v>190</v>
      </c>
      <c r="S14" s="4" t="s">
        <v>191</v>
      </c>
    </row>
    <row r="15" customFormat="false" ht="51.75" hidden="false" customHeight="true" outlineLevel="0" collapsed="false">
      <c r="A15" s="4" t="s">
        <v>192</v>
      </c>
      <c r="B15" s="4" t="s">
        <v>193</v>
      </c>
      <c r="C15" s="4" t="s">
        <v>194</v>
      </c>
      <c r="D15" s="4" t="s">
        <v>187</v>
      </c>
      <c r="E15" s="4" t="s">
        <v>167</v>
      </c>
      <c r="F15" s="4" t="s">
        <v>153</v>
      </c>
      <c r="G15" s="4" t="s">
        <v>62</v>
      </c>
      <c r="H15" s="4" t="s">
        <v>63</v>
      </c>
      <c r="I15" s="4" t="s">
        <v>195</v>
      </c>
      <c r="J15" s="4" t="s">
        <v>155</v>
      </c>
      <c r="K15" s="4" t="s">
        <v>196</v>
      </c>
      <c r="L15" s="4" t="s">
        <v>78</v>
      </c>
      <c r="M15" s="4" t="s">
        <v>134</v>
      </c>
      <c r="N15" s="4" t="s">
        <v>68</v>
      </c>
      <c r="O15" s="4" t="s">
        <v>51</v>
      </c>
      <c r="P15" s="4" t="s">
        <v>159</v>
      </c>
      <c r="Q15" s="6" t="s">
        <v>197</v>
      </c>
      <c r="R15" s="4" t="s">
        <v>198</v>
      </c>
      <c r="S15" s="4" t="s">
        <v>199</v>
      </c>
    </row>
    <row r="16" customFormat="false" ht="39" hidden="false" customHeight="true" outlineLevel="0" collapsed="false">
      <c r="A16" s="4" t="s">
        <v>200</v>
      </c>
      <c r="B16" s="4" t="s">
        <v>201</v>
      </c>
      <c r="C16" s="4" t="s">
        <v>202</v>
      </c>
      <c r="D16" s="4" t="s">
        <v>151</v>
      </c>
      <c r="E16" s="4" t="s">
        <v>152</v>
      </c>
      <c r="F16" s="4" t="s">
        <v>153</v>
      </c>
      <c r="G16" s="4" t="s">
        <v>203</v>
      </c>
      <c r="H16" s="4" t="s">
        <v>63</v>
      </c>
      <c r="I16" s="4" t="s">
        <v>63</v>
      </c>
      <c r="J16" s="4" t="s">
        <v>152</v>
      </c>
      <c r="K16" s="4" t="s">
        <v>204</v>
      </c>
      <c r="L16" s="4" t="s">
        <v>205</v>
      </c>
      <c r="M16" s="4" t="s">
        <v>67</v>
      </c>
      <c r="N16" s="4" t="s">
        <v>68</v>
      </c>
      <c r="O16" s="4" t="s">
        <v>51</v>
      </c>
      <c r="P16" s="4" t="s">
        <v>206</v>
      </c>
      <c r="Q16" s="6" t="s">
        <v>207</v>
      </c>
      <c r="R16" s="4" t="s">
        <v>208</v>
      </c>
      <c r="S16" s="4" t="s">
        <v>209</v>
      </c>
    </row>
    <row r="17" customFormat="false" ht="39" hidden="false" customHeight="true" outlineLevel="0" collapsed="false">
      <c r="A17" s="4" t="s">
        <v>210</v>
      </c>
      <c r="B17" s="4" t="s">
        <v>211</v>
      </c>
      <c r="C17" s="4" t="s">
        <v>212</v>
      </c>
      <c r="D17" s="4" t="s">
        <v>213</v>
      </c>
      <c r="E17" s="4" t="s">
        <v>214</v>
      </c>
      <c r="F17" s="4" t="s">
        <v>215</v>
      </c>
      <c r="G17" s="4" t="s">
        <v>203</v>
      </c>
      <c r="H17" s="4" t="s">
        <v>63</v>
      </c>
      <c r="I17" s="4" t="s">
        <v>216</v>
      </c>
      <c r="J17" s="4" t="s">
        <v>217</v>
      </c>
      <c r="K17" s="4" t="s">
        <v>218</v>
      </c>
      <c r="L17" s="4" t="s">
        <v>219</v>
      </c>
      <c r="M17" s="4" t="s">
        <v>110</v>
      </c>
      <c r="N17" s="4" t="s">
        <v>68</v>
      </c>
      <c r="O17" s="4" t="s">
        <v>51</v>
      </c>
      <c r="P17" s="4" t="s">
        <v>159</v>
      </c>
      <c r="Q17" s="6" t="s">
        <v>220</v>
      </c>
      <c r="R17" s="4" t="s">
        <v>221</v>
      </c>
      <c r="S17" s="4" t="s">
        <v>222</v>
      </c>
    </row>
    <row r="18" customFormat="false" ht="39" hidden="false" customHeight="true" outlineLevel="0" collapsed="false">
      <c r="A18" s="4" t="s">
        <v>223</v>
      </c>
      <c r="B18" s="4" t="s">
        <v>224</v>
      </c>
      <c r="C18" s="4" t="s">
        <v>225</v>
      </c>
      <c r="D18" s="4" t="s">
        <v>86</v>
      </c>
      <c r="E18" s="4" t="s">
        <v>226</v>
      </c>
      <c r="F18" s="4" t="s">
        <v>215</v>
      </c>
      <c r="G18" s="4" t="s">
        <v>227</v>
      </c>
      <c r="H18" s="4" t="s">
        <v>228</v>
      </c>
      <c r="I18" s="4" t="s">
        <v>229</v>
      </c>
      <c r="J18" s="4" t="s">
        <v>230</v>
      </c>
      <c r="K18" s="4" t="s">
        <v>231</v>
      </c>
      <c r="L18" s="4" t="s">
        <v>219</v>
      </c>
      <c r="M18" s="4" t="s">
        <v>110</v>
      </c>
      <c r="N18" s="4" t="s">
        <v>68</v>
      </c>
      <c r="O18" s="4" t="s">
        <v>51</v>
      </c>
      <c r="P18" s="4" t="s">
        <v>159</v>
      </c>
      <c r="Q18" s="6" t="s">
        <v>232</v>
      </c>
      <c r="R18" s="4"/>
      <c r="S18" s="4" t="s">
        <v>233</v>
      </c>
    </row>
    <row r="19" customFormat="false" ht="51.75" hidden="false" customHeight="true" outlineLevel="0" collapsed="false">
      <c r="A19" s="4" t="s">
        <v>234</v>
      </c>
      <c r="B19" s="4" t="s">
        <v>235</v>
      </c>
      <c r="C19" s="4" t="s">
        <v>236</v>
      </c>
      <c r="D19" s="4" t="s">
        <v>237</v>
      </c>
      <c r="E19" s="4" t="s">
        <v>238</v>
      </c>
      <c r="F19" s="4" t="s">
        <v>215</v>
      </c>
      <c r="G19" s="4" t="s">
        <v>203</v>
      </c>
      <c r="H19" s="4" t="s">
        <v>63</v>
      </c>
      <c r="I19" s="4" t="s">
        <v>239</v>
      </c>
      <c r="J19" s="4" t="s">
        <v>170</v>
      </c>
      <c r="K19" s="4" t="s">
        <v>240</v>
      </c>
      <c r="L19" s="4" t="s">
        <v>219</v>
      </c>
      <c r="M19" s="4" t="s">
        <v>241</v>
      </c>
      <c r="N19" s="4" t="s">
        <v>242</v>
      </c>
      <c r="O19" s="4" t="s">
        <v>51</v>
      </c>
      <c r="P19" s="4" t="s">
        <v>159</v>
      </c>
      <c r="Q19" s="6" t="s">
        <v>243</v>
      </c>
      <c r="R19" s="4" t="s">
        <v>244</v>
      </c>
      <c r="S19" s="4" t="s">
        <v>245</v>
      </c>
    </row>
    <row r="20" customFormat="false" ht="51.75" hidden="false" customHeight="true" outlineLevel="0" collapsed="false">
      <c r="A20" s="4" t="s">
        <v>246</v>
      </c>
      <c r="B20" s="4" t="s">
        <v>247</v>
      </c>
      <c r="C20" s="4" t="s">
        <v>248</v>
      </c>
      <c r="D20" s="4" t="s">
        <v>249</v>
      </c>
      <c r="E20" s="4" t="s">
        <v>250</v>
      </c>
      <c r="F20" s="4" t="s">
        <v>215</v>
      </c>
      <c r="G20" s="4" t="s">
        <v>251</v>
      </c>
      <c r="H20" s="4" t="s">
        <v>63</v>
      </c>
      <c r="I20" s="4" t="s">
        <v>252</v>
      </c>
      <c r="J20" s="4" t="s">
        <v>76</v>
      </c>
      <c r="K20" s="4" t="s">
        <v>253</v>
      </c>
      <c r="L20" s="4" t="s">
        <v>219</v>
      </c>
      <c r="M20" s="4" t="s">
        <v>254</v>
      </c>
      <c r="N20" s="4" t="s">
        <v>68</v>
      </c>
      <c r="O20" s="4" t="s">
        <v>51</v>
      </c>
      <c r="P20" s="4" t="s">
        <v>206</v>
      </c>
      <c r="Q20" s="6" t="s">
        <v>255</v>
      </c>
      <c r="R20" s="4" t="s">
        <v>256</v>
      </c>
      <c r="S20" s="4" t="s">
        <v>257</v>
      </c>
    </row>
    <row r="21" customFormat="false" ht="51.75" hidden="false" customHeight="true" outlineLevel="0" collapsed="false">
      <c r="A21" s="4" t="s">
        <v>258</v>
      </c>
      <c r="B21" s="4" t="s">
        <v>259</v>
      </c>
      <c r="C21" s="4" t="s">
        <v>260</v>
      </c>
      <c r="D21" s="4" t="s">
        <v>261</v>
      </c>
      <c r="E21" s="4" t="s">
        <v>214</v>
      </c>
      <c r="F21" s="4" t="s">
        <v>215</v>
      </c>
      <c r="G21" s="4" t="s">
        <v>62</v>
      </c>
      <c r="H21" s="4" t="s">
        <v>63</v>
      </c>
      <c r="I21" s="4" t="s">
        <v>262</v>
      </c>
      <c r="J21" s="4" t="s">
        <v>170</v>
      </c>
      <c r="K21" s="4" t="s">
        <v>263</v>
      </c>
      <c r="L21" s="4" t="s">
        <v>219</v>
      </c>
      <c r="M21" s="4" t="s">
        <v>264</v>
      </c>
      <c r="N21" s="4" t="s">
        <v>265</v>
      </c>
      <c r="O21" s="4" t="s">
        <v>51</v>
      </c>
      <c r="P21" s="4" t="s">
        <v>206</v>
      </c>
      <c r="Q21" s="6" t="s">
        <v>266</v>
      </c>
      <c r="R21" s="4" t="s">
        <v>267</v>
      </c>
      <c r="S21" s="4" t="s">
        <v>268</v>
      </c>
    </row>
    <row r="22" customFormat="false" ht="39" hidden="false" customHeight="true" outlineLevel="0" collapsed="false">
      <c r="A22" s="4" t="s">
        <v>269</v>
      </c>
      <c r="B22" s="4" t="s">
        <v>270</v>
      </c>
      <c r="C22" s="4" t="s">
        <v>271</v>
      </c>
      <c r="D22" s="4" t="s">
        <v>272</v>
      </c>
      <c r="E22" s="4" t="s">
        <v>238</v>
      </c>
      <c r="F22" s="4" t="s">
        <v>42</v>
      </c>
      <c r="G22" s="4" t="s">
        <v>203</v>
      </c>
      <c r="H22" s="4" t="s">
        <v>88</v>
      </c>
      <c r="I22" s="4" t="s">
        <v>63</v>
      </c>
      <c r="J22" s="4" t="s">
        <v>170</v>
      </c>
      <c r="K22" s="4" t="s">
        <v>273</v>
      </c>
      <c r="L22" s="4" t="s">
        <v>78</v>
      </c>
      <c r="M22" s="4" t="s">
        <v>274</v>
      </c>
      <c r="N22" s="4" t="s">
        <v>68</v>
      </c>
      <c r="O22" s="4" t="s">
        <v>51</v>
      </c>
      <c r="P22" s="4" t="s">
        <v>206</v>
      </c>
      <c r="Q22" s="6" t="s">
        <v>275</v>
      </c>
      <c r="R22" s="4"/>
      <c r="S22" s="4" t="s">
        <v>276</v>
      </c>
    </row>
    <row r="23" customFormat="false" ht="39" hidden="false" customHeight="true" outlineLevel="0" collapsed="false">
      <c r="A23" s="4" t="s">
        <v>277</v>
      </c>
      <c r="B23" s="4" t="s">
        <v>278</v>
      </c>
      <c r="C23" s="4" t="s">
        <v>279</v>
      </c>
      <c r="D23" s="4" t="s">
        <v>96</v>
      </c>
      <c r="E23" s="4" t="s">
        <v>214</v>
      </c>
      <c r="F23" s="4" t="s">
        <v>42</v>
      </c>
      <c r="G23" s="4" t="s">
        <v>203</v>
      </c>
      <c r="H23" s="4" t="s">
        <v>97</v>
      </c>
      <c r="I23" s="4" t="s">
        <v>63</v>
      </c>
      <c r="J23" s="4" t="s">
        <v>280</v>
      </c>
      <c r="K23" s="4" t="s">
        <v>281</v>
      </c>
      <c r="L23" s="4" t="s">
        <v>78</v>
      </c>
      <c r="M23" s="4" t="s">
        <v>254</v>
      </c>
      <c r="N23" s="4" t="s">
        <v>68</v>
      </c>
      <c r="O23" s="4" t="s">
        <v>51</v>
      </c>
      <c r="P23" s="4" t="s">
        <v>206</v>
      </c>
      <c r="Q23" s="6" t="s">
        <v>282</v>
      </c>
      <c r="R23" s="4"/>
      <c r="S23" s="4" t="s">
        <v>283</v>
      </c>
    </row>
    <row r="24" customFormat="false" ht="39" hidden="false" customHeight="true" outlineLevel="0" collapsed="false">
      <c r="A24" s="4" t="s">
        <v>284</v>
      </c>
      <c r="B24" s="4" t="s">
        <v>285</v>
      </c>
      <c r="C24" s="4" t="s">
        <v>286</v>
      </c>
      <c r="D24" s="4" t="s">
        <v>287</v>
      </c>
      <c r="E24" s="4" t="s">
        <v>288</v>
      </c>
      <c r="F24" s="4" t="s">
        <v>61</v>
      </c>
      <c r="G24" s="4" t="s">
        <v>203</v>
      </c>
      <c r="H24" s="4" t="s">
        <v>63</v>
      </c>
      <c r="I24" s="4" t="s">
        <v>63</v>
      </c>
      <c r="J24" s="4" t="s">
        <v>289</v>
      </c>
      <c r="K24" s="4" t="s">
        <v>290</v>
      </c>
      <c r="L24" s="4" t="s">
        <v>291</v>
      </c>
      <c r="M24" s="4" t="s">
        <v>79</v>
      </c>
      <c r="N24" s="4" t="s">
        <v>68</v>
      </c>
      <c r="O24" s="4" t="s">
        <v>51</v>
      </c>
      <c r="P24" s="4" t="s">
        <v>206</v>
      </c>
      <c r="Q24" s="6" t="s">
        <v>292</v>
      </c>
      <c r="R24" s="4"/>
      <c r="S24" s="4" t="s">
        <v>293</v>
      </c>
    </row>
    <row r="25" customFormat="false" ht="51.75" hidden="false" customHeight="true" outlineLevel="0" collapsed="false">
      <c r="A25" s="4" t="s">
        <v>294</v>
      </c>
      <c r="B25" s="4" t="s">
        <v>295</v>
      </c>
      <c r="C25" s="4" t="s">
        <v>296</v>
      </c>
      <c r="D25" s="4" t="s">
        <v>297</v>
      </c>
      <c r="E25" s="4" t="s">
        <v>298</v>
      </c>
      <c r="F25" s="4" t="s">
        <v>61</v>
      </c>
      <c r="G25" s="4" t="s">
        <v>299</v>
      </c>
      <c r="H25" s="4" t="s">
        <v>63</v>
      </c>
      <c r="I25" s="4" t="s">
        <v>45</v>
      </c>
      <c r="J25" s="4" t="s">
        <v>76</v>
      </c>
      <c r="K25" s="4" t="s">
        <v>300</v>
      </c>
      <c r="L25" s="4" t="s">
        <v>291</v>
      </c>
      <c r="M25" s="4" t="s">
        <v>301</v>
      </c>
      <c r="N25" s="4" t="s">
        <v>68</v>
      </c>
      <c r="O25" s="4" t="s">
        <v>51</v>
      </c>
      <c r="P25" s="4" t="s">
        <v>206</v>
      </c>
      <c r="Q25" s="6" t="s">
        <v>302</v>
      </c>
      <c r="R25" s="4"/>
      <c r="S25" s="4" t="s">
        <v>303</v>
      </c>
    </row>
    <row r="26" customFormat="false" ht="51.75" hidden="false" customHeight="true" outlineLevel="0" collapsed="false">
      <c r="A26" s="4" t="s">
        <v>304</v>
      </c>
      <c r="B26" s="4" t="s">
        <v>305</v>
      </c>
      <c r="C26" s="4" t="s">
        <v>118</v>
      </c>
      <c r="D26" s="4" t="s">
        <v>306</v>
      </c>
      <c r="E26" s="4" t="s">
        <v>120</v>
      </c>
      <c r="F26" s="4" t="s">
        <v>307</v>
      </c>
      <c r="G26" s="4" t="s">
        <v>87</v>
      </c>
      <c r="H26" s="4" t="s">
        <v>63</v>
      </c>
      <c r="I26" s="4" t="s">
        <v>63</v>
      </c>
      <c r="J26" s="4" t="s">
        <v>120</v>
      </c>
      <c r="K26" s="4" t="s">
        <v>308</v>
      </c>
      <c r="L26" s="4" t="s">
        <v>123</v>
      </c>
      <c r="M26" s="4" t="s">
        <v>134</v>
      </c>
      <c r="N26" s="4" t="s">
        <v>124</v>
      </c>
      <c r="O26" s="4" t="s">
        <v>51</v>
      </c>
      <c r="P26" s="4" t="s">
        <v>112</v>
      </c>
      <c r="Q26" s="6" t="s">
        <v>309</v>
      </c>
      <c r="R26" s="4" t="s">
        <v>310</v>
      </c>
      <c r="S26" s="4" t="s">
        <v>311</v>
      </c>
    </row>
    <row r="27" customFormat="false" ht="39" hidden="false" customHeight="true" outlineLevel="0" collapsed="false">
      <c r="A27" s="4" t="s">
        <v>312</v>
      </c>
      <c r="B27" s="4" t="s">
        <v>313</v>
      </c>
      <c r="C27" s="4" t="s">
        <v>314</v>
      </c>
      <c r="D27" s="4" t="s">
        <v>187</v>
      </c>
      <c r="E27" s="4" t="s">
        <v>167</v>
      </c>
      <c r="F27" s="4" t="s">
        <v>307</v>
      </c>
      <c r="G27" s="4" t="s">
        <v>62</v>
      </c>
      <c r="H27" s="4" t="s">
        <v>63</v>
      </c>
      <c r="I27" s="4" t="s">
        <v>45</v>
      </c>
      <c r="J27" s="4" t="s">
        <v>315</v>
      </c>
      <c r="K27" s="4" t="s">
        <v>316</v>
      </c>
      <c r="L27" s="4" t="s">
        <v>123</v>
      </c>
      <c r="M27" s="4" t="s">
        <v>317</v>
      </c>
      <c r="N27" s="4" t="s">
        <v>68</v>
      </c>
      <c r="O27" s="4" t="s">
        <v>51</v>
      </c>
      <c r="P27" s="4" t="s">
        <v>112</v>
      </c>
      <c r="Q27" s="6" t="s">
        <v>318</v>
      </c>
      <c r="R27" s="4"/>
      <c r="S27" s="4" t="s">
        <v>319</v>
      </c>
    </row>
    <row r="28" customFormat="false" ht="39" hidden="false" customHeight="true" outlineLevel="0" collapsed="false">
      <c r="A28" s="4" t="s">
        <v>320</v>
      </c>
      <c r="B28" s="4" t="s">
        <v>321</v>
      </c>
      <c r="C28" s="4" t="s">
        <v>322</v>
      </c>
      <c r="D28" s="4" t="s">
        <v>178</v>
      </c>
      <c r="E28" s="4" t="s">
        <v>323</v>
      </c>
      <c r="F28" s="4" t="s">
        <v>324</v>
      </c>
      <c r="G28" s="4" t="s">
        <v>87</v>
      </c>
      <c r="H28" s="4" t="s">
        <v>97</v>
      </c>
      <c r="I28" s="4" t="s">
        <v>63</v>
      </c>
      <c r="J28" s="4" t="s">
        <v>325</v>
      </c>
      <c r="K28" s="4" t="s">
        <v>326</v>
      </c>
      <c r="L28" s="4" t="s">
        <v>78</v>
      </c>
      <c r="M28" s="4" t="s">
        <v>79</v>
      </c>
      <c r="N28" s="4" t="s">
        <v>68</v>
      </c>
      <c r="O28" s="4" t="s">
        <v>51</v>
      </c>
      <c r="P28" s="4" t="s">
        <v>159</v>
      </c>
      <c r="Q28" s="6" t="s">
        <v>327</v>
      </c>
      <c r="R28" s="4" t="s">
        <v>328</v>
      </c>
      <c r="S28" s="4" t="s">
        <v>329</v>
      </c>
    </row>
    <row r="29" customFormat="false" ht="39" hidden="false" customHeight="true" outlineLevel="0" collapsed="false">
      <c r="A29" s="4" t="s">
        <v>330</v>
      </c>
      <c r="B29" s="4" t="s">
        <v>331</v>
      </c>
      <c r="C29" s="4" t="s">
        <v>322</v>
      </c>
      <c r="D29" s="4" t="s">
        <v>332</v>
      </c>
      <c r="E29" s="4" t="s">
        <v>323</v>
      </c>
      <c r="F29" s="4" t="s">
        <v>324</v>
      </c>
      <c r="G29" s="4" t="s">
        <v>87</v>
      </c>
      <c r="H29" s="4" t="s">
        <v>88</v>
      </c>
      <c r="I29" s="4" t="s">
        <v>63</v>
      </c>
      <c r="J29" s="4" t="s">
        <v>333</v>
      </c>
      <c r="K29" s="4" t="s">
        <v>334</v>
      </c>
      <c r="L29" s="4" t="s">
        <v>78</v>
      </c>
      <c r="M29" s="4" t="s">
        <v>317</v>
      </c>
      <c r="N29" s="4" t="s">
        <v>68</v>
      </c>
      <c r="O29" s="4" t="s">
        <v>51</v>
      </c>
      <c r="P29" s="4" t="s">
        <v>159</v>
      </c>
      <c r="Q29" s="6" t="s">
        <v>335</v>
      </c>
      <c r="R29" s="4"/>
      <c r="S29" s="4" t="s">
        <v>336</v>
      </c>
    </row>
    <row r="30" customFormat="false" ht="78" hidden="false" customHeight="true" outlineLevel="0" collapsed="false">
      <c r="A30" s="4" t="s">
        <v>337</v>
      </c>
      <c r="B30" s="4" t="s">
        <v>338</v>
      </c>
      <c r="C30" s="4" t="s">
        <v>339</v>
      </c>
      <c r="D30" s="4" t="s">
        <v>340</v>
      </c>
      <c r="E30" s="4" t="s">
        <v>341</v>
      </c>
      <c r="F30" s="4" t="s">
        <v>342</v>
      </c>
      <c r="G30" s="4" t="s">
        <v>203</v>
      </c>
      <c r="H30" s="4" t="s">
        <v>63</v>
      </c>
      <c r="I30" s="4" t="s">
        <v>63</v>
      </c>
      <c r="J30" s="4" t="s">
        <v>343</v>
      </c>
      <c r="K30" s="4" t="s">
        <v>344</v>
      </c>
      <c r="L30" s="4" t="s">
        <v>78</v>
      </c>
      <c r="M30" s="4" t="s">
        <v>345</v>
      </c>
      <c r="N30" s="4" t="s">
        <v>346</v>
      </c>
      <c r="O30" s="4" t="s">
        <v>51</v>
      </c>
      <c r="P30" s="4" t="s">
        <v>206</v>
      </c>
      <c r="Q30" s="6" t="s">
        <v>347</v>
      </c>
      <c r="R30" s="4" t="s">
        <v>348</v>
      </c>
      <c r="S30" s="4" t="s">
        <v>349</v>
      </c>
    </row>
  </sheetData>
  <autoFilter ref="A1:S30"/>
  <hyperlinks>
    <hyperlink ref="Q2" r:id="rId1" display="Landing page: https://educationendowmentfoundation.org.uk/education-evidence/guidance-reports/send"/>
    <hyperlink ref="Q3" r:id="rId2" display="Setting and streaming: https://educationendowmentfoundation.org.uk/education-evidence/teaching-learning-toolkit/setting-and-streaming&#10;Within-class attainment grouping: https://educationendowmentfoundation.org.uk/education-evidence/teaching-learning-toolkit/within-class-attainment-grouping&#10;Teaching assistant interventions: https://educationendowmentfoundation.org.uk/education-evidence/teaching-learning-toolkit/teaching-assistant-interventions"/>
    <hyperlink ref="Q4" r:id="rId3" display="https://educationendowmentfoundation.org.uk/education-evidence/guidance-reports/teaching-assistants"/>
    <hyperlink ref="Q5" r:id="rId4" display="https://educationendowmentfoundation.org.uk/education-evidence/guidance-reports/literacy-ks2"/>
    <hyperlink ref="Q6" r:id="rId5" display="https://educationendowmentfoundation.org.uk/education-evidence/guidance-reports/literacy-ks3-ks4"/>
    <hyperlink ref="Q7" r:id="rId6" display="https://www.gov.uk/government/publications/send-code-of-practice-0-to-25"/>
    <hyperlink ref="Q8" r:id="rId7" display="Teachers' Standards: https://www.gov.uk/government/publications/teachers-standards&#10;ITTECF (operative from Sept 2025): https://www.gov.uk/government/publications/initial-teacher-training-and-early-career-framework&#10;ITT CCF (superseded): https://www.gov.uk/government/publications/initial-teacher-training-itt-core-content-framework&#10;ECF (superseded): https://www.gov.uk/government/publications/early-career-framework"/>
    <hyperlink ref="Q9" r:id="rId8" display="Draft 4th edition: https://www.gov.scot/publications/supporting-childrens-learning-code-practice-statutory-guidance-education-additional-support-learning-scotland-act-2004-fourth-edition-2026/"/>
    <hyperlink ref="Q10" r:id="rId9" display="ALN Code: https://www.gov.wales/additional-learning-needs-code&#10;Decision-making guide: https://www.gov.wales/additional-learning-needs-aln-decision-making-and-communication&#10;Collection: https://www.gov.wales/additional-learning-needs-guidance-schools-and-local-authorities"/>
    <hyperlink ref="Q11" r:id="rId10" display="https://www.bdadyslexia.org.uk/advice/employers/creating-a-dyslexia-friendly-workplace/dyslexia-friendly-style-guide"/>
    <hyperlink ref="Q12" r:id="rId11" display="Web page: https://dyslexiascotland.org.uk/dyslexia-friendly-typed-formats/&#10;PDF: https://dyslexiascotland.org.uk/wp-content/uploads/2025/09/formats.pdf"/>
    <hyperlink ref="Q13" r:id="rId12" display="https://www.ukaaf.org/wp-content/uploads/2024/12/G003-UKAAF-Creating-clear-print-and-large-print-documents-v4.pdf"/>
    <hyperlink ref="Q14" r:id="rId13" display="https://www.rnib.org.uk/professionals/education-professionals/access-to-exams-and-tests/"/>
    <hyperlink ref="Q15" r:id="rId14" display="Communication environment: https://www.ndcs.org.uk/education-professionals/creating-good-communication-environment-educator&#10;Deaf-friendly teaching: https://www.ndcs.org.uk/education-professionals/deaf-friendly-teaching"/>
    <hyperlink ref="Q16" r:id="rId15" display="https://www.w3.org/TR/WCAG22/"/>
    <hyperlink ref="Q17" r:id="rId16" display="https://ncaep.fpg.unc.edu/wp-content/uploads/EBP-Report-2020.pdf"/>
    <hyperlink ref="Q18" r:id="rId17" display="https://ies.ed.gov/ncee/wwc/PracticeGuide/26"/>
    <hyperlink ref="Q19" r:id="rId18" display="DuPaul et al. 2012: https://doi.org/10.1080/02796015.2012.12087496&#10;Yegencik et al. 2025: https://doi.org/10.3389/fpsyg.2025.1611145"/>
    <hyperlink ref="Q20" r:id="rId19" display="Norbury et al. 2016: https://doi.org/10.1111/jcpp.12573&#10;Bishop et al. 2017: https://doi.org/10.1111/jcpp.12721"/>
    <hyperlink ref="Q21" r:id="rId20" display="Murphy and Unthiah 2015: https://educationendowmentfoundation.org.uk/education-evidence/evidence-reviews/english-as-an-additional-language-eal&#10;Oxley and de Cat 2019: https://doi.org/10.1080/09571736.2019.1597146"/>
    <hyperlink ref="Q22" r:id="rId21" display="https://doi.org/10.1016/j.edurev.2018.02.002"/>
    <hyperlink ref="Q23" r:id="rId22" display="https://doi.org/10.3389/fpsyg.2019.02366"/>
    <hyperlink ref="Q24" r:id="rId23" display="https://doi.org/10.1111/j.1539-6053.2009.01038.x"/>
    <hyperlink ref="Q25" r:id="rId24" display="Research Brief DCSF-RB148: https://discovery.ucl.ac.uk/id/eprint/10096858/1/Blatchford_DISS_project_summary.pdf&#10;Full report DCSF-RR148: https://dera.ioe.ac.uk/id/eprint/10818/1/DCSF-RR148.pdf"/>
    <hyperlink ref="Q26" r:id="rId25" display="Product safety standards: https://www.gov.uk/government/publications/generative-ai-product-safety-standards&#10;Generative AI in education: https://www.gov.uk/government/publications/generative-artificial-intelligence-in-education"/>
    <hyperlink ref="Q27" r:id="rId26" display="https://ico.org.uk/for-organisations/uk-gdpr-guidance-and-resources/lawful-basis/special-category-data/"/>
    <hyperlink ref="Q28" r:id="rId27" display="https://educationendowmentfoundation.org.uk/projects-and-evaluation/projects/choices-in-edtech-using-generative-ai-chatgpt-for-ks3-science-lesson-preparation-2024-teacher-choices-trial"/>
    <hyperlink ref="Q29" r:id="rId28" display="https://educationendowmentfoundation.org.uk/projects-and-evaluation/projects/aila-teacher-choices-trial"/>
    <hyperlink ref="Q30" r:id="rId29" display="Young and Muller 2013: https://doi.org/10.1002/rev3.3017&#10;Morrow 2009 (book): https://hsrcpress.ac.za/product/bounds-of-democracy/&#10;Deng 2022: https://doi.org/10.1080/00220272.2022.208953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30"/>
    <col collapsed="false" customWidth="true" hidden="false" outlineLevel="0" max="4" min="4" style="1" width="28"/>
    <col collapsed="false" customWidth="true" hidden="false" outlineLevel="0" max="5" min="5" style="1" width="44"/>
    <col collapsed="false" customWidth="true" hidden="false" outlineLevel="0" max="6" min="6" style="1" width="12"/>
    <col collapsed="false" customWidth="true" hidden="false" outlineLevel="0" max="7" min="7" style="1" width="18"/>
  </cols>
  <sheetData>
    <row r="1" customFormat="false" ht="23.25" hidden="false" customHeight="true" outlineLevel="0" collapsed="false">
      <c r="A1" s="5" t="s">
        <v>350</v>
      </c>
      <c r="B1" s="5" t="s">
        <v>351</v>
      </c>
      <c r="C1" s="5" t="s">
        <v>352</v>
      </c>
      <c r="D1" s="5" t="s">
        <v>21</v>
      </c>
      <c r="E1" s="5" t="s">
        <v>353</v>
      </c>
      <c r="F1" s="5" t="s">
        <v>13</v>
      </c>
      <c r="G1" s="5" t="s">
        <v>354</v>
      </c>
    </row>
    <row r="2" customFormat="false" ht="15" hidden="false" customHeight="true" outlineLevel="0" collapsed="false">
      <c r="A2" s="4" t="s">
        <v>355</v>
      </c>
      <c r="B2" s="4" t="s">
        <v>356</v>
      </c>
      <c r="C2" s="4" t="s">
        <v>357</v>
      </c>
      <c r="D2" s="4" t="s">
        <v>148</v>
      </c>
      <c r="E2" s="4" t="s">
        <v>358</v>
      </c>
      <c r="F2" s="4" t="s">
        <v>359</v>
      </c>
      <c r="G2" s="4" t="s">
        <v>360</v>
      </c>
    </row>
    <row r="3" customFormat="false" ht="15" hidden="false" customHeight="true" outlineLevel="0" collapsed="false">
      <c r="A3" s="4" t="s">
        <v>355</v>
      </c>
      <c r="B3" s="4" t="s">
        <v>356</v>
      </c>
      <c r="C3" s="4" t="s">
        <v>357</v>
      </c>
      <c r="D3" s="4" t="s">
        <v>163</v>
      </c>
      <c r="E3" s="4" t="s">
        <v>361</v>
      </c>
      <c r="F3" s="4" t="s">
        <v>362</v>
      </c>
      <c r="G3" s="4" t="s">
        <v>360</v>
      </c>
    </row>
    <row r="4" customFormat="false" ht="15" hidden="false" customHeight="true" outlineLevel="0" collapsed="false">
      <c r="A4" s="4" t="s">
        <v>355</v>
      </c>
      <c r="B4" s="4" t="s">
        <v>356</v>
      </c>
      <c r="C4" s="4" t="s">
        <v>357</v>
      </c>
      <c r="D4" s="4" t="s">
        <v>37</v>
      </c>
      <c r="E4" s="4" t="s">
        <v>363</v>
      </c>
      <c r="F4" s="4" t="s">
        <v>362</v>
      </c>
      <c r="G4" s="4" t="s">
        <v>360</v>
      </c>
    </row>
    <row r="5" customFormat="false" ht="15" hidden="false" customHeight="true" outlineLevel="0" collapsed="false">
      <c r="A5" s="4" t="s">
        <v>355</v>
      </c>
      <c r="B5" s="4" t="s">
        <v>356</v>
      </c>
      <c r="C5" s="4" t="s">
        <v>357</v>
      </c>
      <c r="D5" s="4" t="s">
        <v>284</v>
      </c>
      <c r="E5" s="4" t="s">
        <v>364</v>
      </c>
      <c r="F5" s="4" t="s">
        <v>365</v>
      </c>
      <c r="G5" s="4" t="s">
        <v>366</v>
      </c>
    </row>
    <row r="6" customFormat="false" ht="15" hidden="false" customHeight="true" outlineLevel="0" collapsed="false">
      <c r="A6" s="4" t="s">
        <v>355</v>
      </c>
      <c r="B6" s="4" t="s">
        <v>367</v>
      </c>
      <c r="C6" s="4" t="s">
        <v>368</v>
      </c>
      <c r="D6" s="4" t="s">
        <v>175</v>
      </c>
      <c r="E6" s="4" t="s">
        <v>369</v>
      </c>
      <c r="F6" s="4" t="s">
        <v>359</v>
      </c>
      <c r="G6" s="4" t="s">
        <v>360</v>
      </c>
    </row>
    <row r="7" customFormat="false" ht="15" hidden="false" customHeight="true" outlineLevel="0" collapsed="false">
      <c r="A7" s="4" t="s">
        <v>355</v>
      </c>
      <c r="B7" s="4" t="s">
        <v>367</v>
      </c>
      <c r="C7" s="4" t="s">
        <v>368</v>
      </c>
      <c r="D7" s="4" t="s">
        <v>184</v>
      </c>
      <c r="E7" s="4" t="s">
        <v>370</v>
      </c>
      <c r="F7" s="4" t="s">
        <v>359</v>
      </c>
      <c r="G7" s="4" t="s">
        <v>360</v>
      </c>
    </row>
    <row r="8" customFormat="false" ht="15" hidden="false" customHeight="true" outlineLevel="0" collapsed="false">
      <c r="A8" s="4" t="s">
        <v>355</v>
      </c>
      <c r="B8" s="4" t="s">
        <v>371</v>
      </c>
      <c r="C8" s="4" t="s">
        <v>372</v>
      </c>
      <c r="D8" s="4" t="s">
        <v>192</v>
      </c>
      <c r="E8" s="4" t="s">
        <v>373</v>
      </c>
      <c r="F8" s="4" t="s">
        <v>359</v>
      </c>
      <c r="G8" s="4" t="s">
        <v>360</v>
      </c>
    </row>
    <row r="9" customFormat="false" ht="15" hidden="false" customHeight="true" outlineLevel="0" collapsed="false">
      <c r="A9" s="4" t="s">
        <v>355</v>
      </c>
      <c r="B9" s="4" t="s">
        <v>374</v>
      </c>
      <c r="C9" s="4" t="s">
        <v>375</v>
      </c>
      <c r="D9" s="4" t="s">
        <v>200</v>
      </c>
      <c r="E9" s="4" t="s">
        <v>376</v>
      </c>
      <c r="F9" s="4" t="s">
        <v>365</v>
      </c>
      <c r="G9" s="4" t="s">
        <v>366</v>
      </c>
    </row>
    <row r="10" customFormat="false" ht="15" hidden="false" customHeight="true" outlineLevel="0" collapsed="false">
      <c r="A10" s="4" t="s">
        <v>377</v>
      </c>
      <c r="B10" s="4" t="s">
        <v>378</v>
      </c>
      <c r="C10" s="4" t="s">
        <v>379</v>
      </c>
      <c r="D10" s="4" t="s">
        <v>37</v>
      </c>
      <c r="E10" s="4" t="s">
        <v>380</v>
      </c>
      <c r="F10" s="4" t="s">
        <v>359</v>
      </c>
      <c r="G10" s="4" t="s">
        <v>360</v>
      </c>
    </row>
    <row r="11" customFormat="false" ht="15" hidden="false" customHeight="true" outlineLevel="0" collapsed="false">
      <c r="A11" s="4" t="s">
        <v>377</v>
      </c>
      <c r="B11" s="4" t="s">
        <v>378</v>
      </c>
      <c r="C11" s="4" t="s">
        <v>379</v>
      </c>
      <c r="D11" s="4" t="s">
        <v>116</v>
      </c>
      <c r="E11" s="4" t="s">
        <v>381</v>
      </c>
      <c r="F11" s="4" t="s">
        <v>359</v>
      </c>
      <c r="G11" s="4" t="s">
        <v>360</v>
      </c>
    </row>
    <row r="12" customFormat="false" ht="15" hidden="false" customHeight="true" outlineLevel="0" collapsed="false">
      <c r="A12" s="4" t="s">
        <v>377</v>
      </c>
      <c r="B12" s="4" t="s">
        <v>378</v>
      </c>
      <c r="C12" s="4" t="s">
        <v>379</v>
      </c>
      <c r="D12" s="4" t="s">
        <v>56</v>
      </c>
      <c r="E12" s="4" t="s">
        <v>382</v>
      </c>
      <c r="F12" s="4" t="s">
        <v>362</v>
      </c>
      <c r="G12" s="4" t="s">
        <v>360</v>
      </c>
    </row>
    <row r="13" customFormat="false" ht="15" hidden="false" customHeight="true" outlineLevel="0" collapsed="false">
      <c r="A13" s="4" t="s">
        <v>377</v>
      </c>
      <c r="B13" s="4" t="s">
        <v>378</v>
      </c>
      <c r="C13" s="4" t="s">
        <v>379</v>
      </c>
      <c r="D13" s="4" t="s">
        <v>269</v>
      </c>
      <c r="E13" s="4" t="s">
        <v>383</v>
      </c>
      <c r="F13" s="4" t="s">
        <v>365</v>
      </c>
      <c r="G13" s="4" t="s">
        <v>366</v>
      </c>
    </row>
    <row r="14" customFormat="false" ht="15" hidden="false" customHeight="true" outlineLevel="0" collapsed="false">
      <c r="A14" s="4" t="s">
        <v>377</v>
      </c>
      <c r="B14" s="4" t="s">
        <v>378</v>
      </c>
      <c r="C14" s="4" t="s">
        <v>379</v>
      </c>
      <c r="D14" s="4" t="s">
        <v>337</v>
      </c>
      <c r="E14" s="4" t="s">
        <v>384</v>
      </c>
      <c r="F14" s="4" t="s">
        <v>365</v>
      </c>
      <c r="G14" s="4" t="s">
        <v>366</v>
      </c>
    </row>
    <row r="15" customFormat="false" ht="15" hidden="false" customHeight="true" outlineLevel="0" collapsed="false">
      <c r="A15" s="4" t="s">
        <v>385</v>
      </c>
      <c r="B15" s="4" t="s">
        <v>386</v>
      </c>
      <c r="C15" s="4" t="s">
        <v>387</v>
      </c>
      <c r="D15" s="4" t="s">
        <v>83</v>
      </c>
      <c r="E15" s="4" t="s">
        <v>388</v>
      </c>
      <c r="F15" s="4" t="s">
        <v>359</v>
      </c>
      <c r="G15" s="4" t="s">
        <v>360</v>
      </c>
    </row>
    <row r="16" customFormat="false" ht="15" hidden="false" customHeight="true" outlineLevel="0" collapsed="false">
      <c r="A16" s="4" t="s">
        <v>385</v>
      </c>
      <c r="B16" s="4" t="s">
        <v>386</v>
      </c>
      <c r="C16" s="4" t="s">
        <v>387</v>
      </c>
      <c r="D16" s="4" t="s">
        <v>94</v>
      </c>
      <c r="E16" s="4" t="s">
        <v>389</v>
      </c>
      <c r="F16" s="4" t="s">
        <v>359</v>
      </c>
      <c r="G16" s="4" t="s">
        <v>360</v>
      </c>
    </row>
    <row r="17" customFormat="false" ht="15" hidden="false" customHeight="true" outlineLevel="0" collapsed="false">
      <c r="A17" s="4" t="s">
        <v>385</v>
      </c>
      <c r="B17" s="4" t="s">
        <v>386</v>
      </c>
      <c r="C17" s="4" t="s">
        <v>387</v>
      </c>
      <c r="D17" s="4" t="s">
        <v>246</v>
      </c>
      <c r="E17" s="4" t="s">
        <v>390</v>
      </c>
      <c r="F17" s="4" t="s">
        <v>362</v>
      </c>
      <c r="G17" s="4" t="s">
        <v>360</v>
      </c>
    </row>
    <row r="18" customFormat="false" ht="15" hidden="false" customHeight="true" outlineLevel="0" collapsed="false">
      <c r="A18" s="4" t="s">
        <v>385</v>
      </c>
      <c r="B18" s="4" t="s">
        <v>386</v>
      </c>
      <c r="C18" s="4" t="s">
        <v>387</v>
      </c>
      <c r="D18" s="4" t="s">
        <v>258</v>
      </c>
      <c r="E18" s="4" t="s">
        <v>391</v>
      </c>
      <c r="F18" s="4" t="s">
        <v>362</v>
      </c>
      <c r="G18" s="4" t="s">
        <v>360</v>
      </c>
    </row>
    <row r="19" customFormat="false" ht="15" hidden="false" customHeight="true" outlineLevel="0" collapsed="false">
      <c r="A19" s="4" t="s">
        <v>392</v>
      </c>
      <c r="B19" s="4" t="s">
        <v>393</v>
      </c>
      <c r="C19" s="4" t="s">
        <v>394</v>
      </c>
      <c r="D19" s="4" t="s">
        <v>37</v>
      </c>
      <c r="E19" s="4" t="s">
        <v>395</v>
      </c>
      <c r="F19" s="4" t="s">
        <v>359</v>
      </c>
      <c r="G19" s="4" t="s">
        <v>360</v>
      </c>
    </row>
    <row r="20" customFormat="false" ht="15" hidden="false" customHeight="true" outlineLevel="0" collapsed="false">
      <c r="A20" s="4" t="s">
        <v>392</v>
      </c>
      <c r="B20" s="4" t="s">
        <v>393</v>
      </c>
      <c r="C20" s="4" t="s">
        <v>394</v>
      </c>
      <c r="D20" s="4" t="s">
        <v>101</v>
      </c>
      <c r="E20" s="4" t="s">
        <v>396</v>
      </c>
      <c r="F20" s="4" t="s">
        <v>359</v>
      </c>
      <c r="G20" s="4" t="s">
        <v>397</v>
      </c>
    </row>
    <row r="21" customFormat="false" ht="15" hidden="false" customHeight="true" outlineLevel="0" collapsed="false">
      <c r="A21" s="4" t="s">
        <v>392</v>
      </c>
      <c r="B21" s="4" t="s">
        <v>393</v>
      </c>
      <c r="C21" s="4" t="s">
        <v>394</v>
      </c>
      <c r="D21" s="4" t="s">
        <v>127</v>
      </c>
      <c r="E21" s="4" t="s">
        <v>398</v>
      </c>
      <c r="F21" s="4" t="s">
        <v>359</v>
      </c>
      <c r="G21" s="4" t="s">
        <v>399</v>
      </c>
    </row>
    <row r="22" customFormat="false" ht="15" hidden="false" customHeight="true" outlineLevel="0" collapsed="false">
      <c r="A22" s="4" t="s">
        <v>392</v>
      </c>
      <c r="B22" s="4" t="s">
        <v>393</v>
      </c>
      <c r="C22" s="4" t="s">
        <v>394</v>
      </c>
      <c r="D22" s="4" t="s">
        <v>138</v>
      </c>
      <c r="E22" s="4" t="s">
        <v>400</v>
      </c>
      <c r="F22" s="4" t="s">
        <v>359</v>
      </c>
      <c r="G22" s="4" t="s">
        <v>401</v>
      </c>
    </row>
    <row r="23" customFormat="false" ht="15" hidden="false" customHeight="true" outlineLevel="0" collapsed="false">
      <c r="A23" s="4" t="s">
        <v>392</v>
      </c>
      <c r="B23" s="4" t="s">
        <v>393</v>
      </c>
      <c r="C23" s="4" t="s">
        <v>394</v>
      </c>
      <c r="D23" s="4" t="s">
        <v>56</v>
      </c>
      <c r="E23" s="4" t="s">
        <v>402</v>
      </c>
      <c r="F23" s="4" t="s">
        <v>362</v>
      </c>
      <c r="G23" s="4" t="s">
        <v>360</v>
      </c>
    </row>
    <row r="24" customFormat="false" ht="15" hidden="false" customHeight="true" outlineLevel="0" collapsed="false">
      <c r="A24" s="4" t="s">
        <v>392</v>
      </c>
      <c r="B24" s="4" t="s">
        <v>393</v>
      </c>
      <c r="C24" s="4" t="s">
        <v>394</v>
      </c>
      <c r="D24" s="4" t="s">
        <v>294</v>
      </c>
      <c r="E24" s="4" t="s">
        <v>403</v>
      </c>
      <c r="F24" s="4" t="s">
        <v>362</v>
      </c>
      <c r="G24" s="4" t="s">
        <v>360</v>
      </c>
    </row>
    <row r="25" customFormat="false" ht="15" hidden="false" customHeight="true" outlineLevel="0" collapsed="false">
      <c r="A25" s="4" t="s">
        <v>392</v>
      </c>
      <c r="B25" s="4" t="s">
        <v>393</v>
      </c>
      <c r="C25" s="4" t="s">
        <v>394</v>
      </c>
      <c r="D25" s="4" t="s">
        <v>284</v>
      </c>
      <c r="E25" s="4" t="s">
        <v>404</v>
      </c>
      <c r="F25" s="4" t="s">
        <v>362</v>
      </c>
      <c r="G25" s="4" t="s">
        <v>360</v>
      </c>
    </row>
    <row r="26" customFormat="false" ht="15" hidden="false" customHeight="true" outlineLevel="0" collapsed="false">
      <c r="A26" s="4" t="s">
        <v>405</v>
      </c>
      <c r="B26" s="4" t="s">
        <v>406</v>
      </c>
      <c r="C26" s="4" t="s">
        <v>407</v>
      </c>
      <c r="D26" s="4" t="s">
        <v>210</v>
      </c>
      <c r="E26" s="4" t="s">
        <v>408</v>
      </c>
      <c r="F26" s="4" t="s">
        <v>359</v>
      </c>
      <c r="G26" s="4" t="s">
        <v>360</v>
      </c>
    </row>
    <row r="27" customFormat="false" ht="15" hidden="false" customHeight="true" outlineLevel="0" collapsed="false">
      <c r="A27" s="4" t="s">
        <v>405</v>
      </c>
      <c r="B27" s="4" t="s">
        <v>406</v>
      </c>
      <c r="C27" s="4" t="s">
        <v>407</v>
      </c>
      <c r="D27" s="4" t="s">
        <v>37</v>
      </c>
      <c r="E27" s="4" t="s">
        <v>409</v>
      </c>
      <c r="F27" s="4" t="s">
        <v>362</v>
      </c>
      <c r="G27" s="4" t="s">
        <v>360</v>
      </c>
    </row>
    <row r="28" customFormat="false" ht="15" hidden="false" customHeight="true" outlineLevel="0" collapsed="false">
      <c r="A28" s="4" t="s">
        <v>410</v>
      </c>
      <c r="B28" s="4" t="s">
        <v>411</v>
      </c>
      <c r="C28" s="4" t="s">
        <v>412</v>
      </c>
      <c r="D28" s="4" t="s">
        <v>223</v>
      </c>
      <c r="E28" s="4" t="s">
        <v>413</v>
      </c>
      <c r="F28" s="4" t="s">
        <v>359</v>
      </c>
      <c r="G28" s="4" t="s">
        <v>360</v>
      </c>
    </row>
    <row r="29" customFormat="false" ht="15" hidden="false" customHeight="true" outlineLevel="0" collapsed="false">
      <c r="A29" s="4" t="s">
        <v>414</v>
      </c>
      <c r="B29" s="4" t="s">
        <v>415</v>
      </c>
      <c r="C29" s="4" t="s">
        <v>375</v>
      </c>
      <c r="D29" s="4" t="s">
        <v>304</v>
      </c>
      <c r="E29" s="4" t="s">
        <v>416</v>
      </c>
      <c r="F29" s="4" t="s">
        <v>359</v>
      </c>
      <c r="G29" s="4" t="s">
        <v>360</v>
      </c>
    </row>
    <row r="30" customFormat="false" ht="15" hidden="false" customHeight="true" outlineLevel="0" collapsed="false">
      <c r="A30" s="4" t="s">
        <v>414</v>
      </c>
      <c r="B30" s="4" t="s">
        <v>415</v>
      </c>
      <c r="C30" s="4" t="s">
        <v>375</v>
      </c>
      <c r="D30" s="4" t="s">
        <v>312</v>
      </c>
      <c r="E30" s="4" t="s">
        <v>417</v>
      </c>
      <c r="F30" s="4" t="s">
        <v>359</v>
      </c>
      <c r="G30" s="4" t="s">
        <v>360</v>
      </c>
    </row>
    <row r="31" customFormat="false" ht="15" hidden="false" customHeight="true" outlineLevel="0" collapsed="false">
      <c r="A31" s="4" t="s">
        <v>414</v>
      </c>
      <c r="B31" s="4" t="s">
        <v>418</v>
      </c>
      <c r="C31" s="4" t="s">
        <v>375</v>
      </c>
      <c r="D31" s="4" t="s">
        <v>419</v>
      </c>
      <c r="E31" s="4" t="s">
        <v>420</v>
      </c>
      <c r="F31" s="4" t="s">
        <v>359</v>
      </c>
      <c r="G31" s="4" t="s">
        <v>360</v>
      </c>
    </row>
    <row r="32" customFormat="false" ht="15" hidden="false" customHeight="true" outlineLevel="0" collapsed="false">
      <c r="A32" s="4" t="s">
        <v>414</v>
      </c>
      <c r="B32" s="4" t="s">
        <v>418</v>
      </c>
      <c r="C32" s="4" t="s">
        <v>375</v>
      </c>
      <c r="D32" s="4" t="s">
        <v>421</v>
      </c>
      <c r="E32" s="4" t="s">
        <v>422</v>
      </c>
      <c r="F32" s="4" t="s">
        <v>359</v>
      </c>
      <c r="G32" s="4" t="s">
        <v>360</v>
      </c>
    </row>
  </sheetData>
  <autoFilter ref="A1:G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s>
  <sheetData>
    <row r="1" customFormat="false" ht="15" hidden="false" customHeight="true" outlineLevel="0" collapsed="false">
      <c r="A1" s="7" t="s">
        <v>423</v>
      </c>
    </row>
    <row r="2" customFormat="false" ht="15" hidden="false" customHeight="true" outlineLevel="0" collapsed="false">
      <c r="A2" s="8" t="s">
        <v>26</v>
      </c>
      <c r="B2" s="8" t="s">
        <v>424</v>
      </c>
    </row>
    <row r="3" customFormat="false" ht="15" hidden="false" customHeight="true" outlineLevel="0" collapsed="false">
      <c r="A3" s="9" t="s">
        <v>42</v>
      </c>
      <c r="B3" s="9" t="n">
        <f aca="false">COUNTIF(Documents!$F$2:$F$200,"Evidence summary")</f>
        <v>6</v>
      </c>
    </row>
    <row r="4" customFormat="false" ht="15" hidden="false" customHeight="true" outlineLevel="0" collapsed="false">
      <c r="A4" s="9" t="s">
        <v>324</v>
      </c>
      <c r="B4" s="9" t="n">
        <f aca="false">COUNTIF(Documents!$F$2:$F$200,"Evidence summary (AI)")</f>
        <v>2</v>
      </c>
    </row>
    <row r="5" customFormat="false" ht="15" hidden="false" customHeight="true" outlineLevel="0" collapsed="false">
      <c r="A5" s="9" t="s">
        <v>106</v>
      </c>
      <c r="B5" s="9" t="n">
        <f aca="false">COUNTIF(Documents!$F$2:$F$200,"Statutory frame")</f>
        <v>4</v>
      </c>
    </row>
    <row r="6" customFormat="false" ht="15" hidden="false" customHeight="true" outlineLevel="0" collapsed="false">
      <c r="A6" s="9" t="s">
        <v>153</v>
      </c>
      <c r="B6" s="9" t="n">
        <f aca="false">COUNTIF(Documents!$F$2:$F$200,"Accessibility standard")</f>
        <v>6</v>
      </c>
    </row>
    <row r="7" customFormat="false" ht="15" hidden="false" customHeight="true" outlineLevel="0" collapsed="false">
      <c r="A7" s="9" t="s">
        <v>215</v>
      </c>
      <c r="B7" s="9" t="n">
        <f aca="false">COUNTIF(Documents!$F$2:$F$200,"Need-group profile")</f>
        <v>5</v>
      </c>
    </row>
    <row r="8" customFormat="false" ht="15" hidden="false" customHeight="true" outlineLevel="0" collapsed="false">
      <c r="A8" s="9" t="s">
        <v>61</v>
      </c>
      <c r="B8" s="9" t="n">
        <f aca="false">COUNTIF(Documents!$F$2:$F$200,"Negative evidence register")</f>
        <v>3</v>
      </c>
    </row>
    <row r="9" customFormat="false" ht="15" hidden="false" customHeight="true" outlineLevel="0" collapsed="false">
      <c r="A9" s="9" t="s">
        <v>307</v>
      </c>
      <c r="B9" s="9" t="n">
        <f aca="false">COUNTIF(Documents!$F$2:$F$200,"AI governance")</f>
        <v>2</v>
      </c>
    </row>
    <row r="10" customFormat="false" ht="15" hidden="false" customHeight="true" outlineLevel="0" collapsed="false">
      <c r="A10" s="9" t="s">
        <v>342</v>
      </c>
      <c r="B10" s="9" t="n">
        <f aca="false">COUNTIF(Documents!$F$2:$F$200,"Normative frame")</f>
        <v>1</v>
      </c>
    </row>
    <row r="11" customFormat="false" ht="15" hidden="false" customHeight="true" outlineLevel="0" collapsed="false">
      <c r="A11" s="10" t="s">
        <v>425</v>
      </c>
      <c r="B11" s="10" t="n">
        <f aca="false">COUNTA(Documents!$A$2:$A$200)</f>
        <v>29</v>
      </c>
    </row>
    <row r="13" customFormat="false" ht="15" hidden="false" customHeight="true" outlineLevel="0" collapsed="false">
      <c r="A13" s="7" t="s">
        <v>426</v>
      </c>
    </row>
    <row r="14" customFormat="false" ht="15" hidden="false" customHeight="true" outlineLevel="0" collapsed="false">
      <c r="A14" s="8" t="s">
        <v>427</v>
      </c>
      <c r="B14" s="8" t="s">
        <v>424</v>
      </c>
    </row>
    <row r="15" customFormat="false" ht="15" hidden="false" customHeight="true" outlineLevel="0" collapsed="false">
      <c r="A15" s="9" t="s">
        <v>76</v>
      </c>
      <c r="B15" s="9" t="n">
        <f aca="false">COUNTIF(Documents!$J$2:$J$200,"Strong*")</f>
        <v>11</v>
      </c>
    </row>
    <row r="16" customFormat="false" ht="15" hidden="false" customHeight="true" outlineLevel="0" collapsed="false">
      <c r="A16" s="9" t="s">
        <v>170</v>
      </c>
      <c r="B16" s="9" t="n">
        <f aca="false">COUNTIF(Documents!$J$2:$J$200,"Moderate*")</f>
        <v>6</v>
      </c>
    </row>
    <row r="17" customFormat="false" ht="15" hidden="false" customHeight="true" outlineLevel="0" collapsed="false">
      <c r="A17" s="9" t="s">
        <v>155</v>
      </c>
      <c r="B17" s="9" t="n">
        <f aca="false">COUNTIF(Documents!$J$2:$J$200,"Consensus*")</f>
        <v>4</v>
      </c>
    </row>
    <row r="18" customFormat="false" ht="15" hidden="false" customHeight="true" outlineLevel="0" collapsed="false">
      <c r="A18" s="9" t="s">
        <v>107</v>
      </c>
      <c r="B18" s="9" t="n">
        <f aca="false">COUNTIF(Documents!$J$2:$J$200,"Statutory*")</f>
        <v>3</v>
      </c>
    </row>
    <row r="19" customFormat="false" ht="15" hidden="false" customHeight="true" outlineLevel="0" collapsed="false">
      <c r="A19" s="9" t="s">
        <v>120</v>
      </c>
      <c r="B19" s="9" t="n">
        <f aca="false">COUNTIF(Documents!$J$2:$J$200,"Policy*")</f>
        <v>2</v>
      </c>
    </row>
    <row r="20" customFormat="false" ht="15" hidden="false" customHeight="true" outlineLevel="0" collapsed="false">
      <c r="A20" s="9" t="s">
        <v>315</v>
      </c>
      <c r="B20" s="9" t="n">
        <f aca="false">COUNTIF(Documents!$J$2:$J$200,"Legal*")</f>
        <v>1</v>
      </c>
    </row>
    <row r="21" customFormat="false" ht="15" hidden="false" customHeight="true" outlineLevel="0" collapsed="false">
      <c r="A21" s="9" t="s">
        <v>152</v>
      </c>
      <c r="B21" s="9" t="n">
        <f aca="false">COUNTIF(Documents!$J$2:$J$200,"Standard*")</f>
        <v>1</v>
      </c>
    </row>
    <row r="22" customFormat="false" ht="15" hidden="false" customHeight="true" outlineLevel="0" collapsed="false">
      <c r="A22" s="9" t="s">
        <v>343</v>
      </c>
      <c r="B22" s="9" t="n">
        <f aca="false">COUNTIF(Documents!$J$2:$J$200,"Theoretical*")</f>
        <v>1</v>
      </c>
    </row>
    <row r="24" customFormat="false" ht="15" hidden="false" customHeight="true" outlineLevel="0" collapsed="false">
      <c r="A24" s="11" t="s">
        <v>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2026-10-16T10:44:52Z</dcterms:created>
  <dc:creator>openpyxl</dc:creator>
  <dc:description/>
  <dc:language>en-US</dc:language>
  <cp:lastModifiedBy/>
  <dcterms:modified xsi:type="dcterms:W3CDTF">2026-10-16T15:49:17Z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